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/>
  <workbookPr/>
  <mc:AlternateContent xmlns:mc="http://schemas.openxmlformats.org/markup-compatibility/2006">
    <mc:Choice Requires="x15">
      <x15ac:absPath xmlns:x15ac="http://schemas.microsoft.com/office/spreadsheetml/2010/11/ac" url="C:\Users\apell\Desktop\Uni Trieste\Clab\"/>
    </mc:Choice>
  </mc:AlternateContent>
  <xr:revisionPtr revIDLastSave="0" documentId="13_ncr:1_{72D445BA-6DB9-4FE0-B208-BB78DF94062F}" xr6:coauthVersionLast="41" xr6:coauthVersionMax="41" xr10:uidLastSave="{00000000-0000-0000-0000-000000000000}"/>
  <bookViews>
    <workbookView xWindow="-120" yWindow="-120" windowWidth="20730" windowHeight="11160" tabRatio="831" activeTab="5" xr2:uid="{00000000-000D-0000-FFFF-FFFF00000000}"/>
  </bookViews>
  <sheets>
    <sheet name="piano invest" sheetId="9" r:id="rId1"/>
    <sheet name="fonti copertura investim" sheetId="11" r:id="rId2"/>
    <sheet name="risorse umane" sheetId="12" r:id="rId3"/>
    <sheet name="pz prod" sheetId="14" r:id="rId4"/>
    <sheet name="ammort" sheetId="15" r:id="rId5"/>
    <sheet name="ce triennale" sheetId="16" r:id="rId6"/>
    <sheet name="Flussi fin" sheetId="17" r:id="rId7"/>
    <sheet name="finale" sheetId="1" r:id="rId8"/>
  </sheets>
  <definedNames>
    <definedName name="_ftn1" localSheetId="0">'piano invest'!$A$32</definedName>
    <definedName name="_ftnref1" localSheetId="0">'piano invest'!#REF!</definedName>
    <definedName name="_xlnm.Print_Area" localSheetId="4">ammort!$A$1:$I$26</definedName>
    <definedName name="_xlnm.Print_Area" localSheetId="5">'ce triennale'!$A$3:$G$61</definedName>
    <definedName name="_xlnm.Print_Area" localSheetId="7">finale!$B$14:$I$84</definedName>
    <definedName name="_xlnm.Print_Area" localSheetId="1">'fonti copertura investim'!$A$3:$D$18</definedName>
    <definedName name="_xlnm.Print_Area" localSheetId="0">'piano invest'!$A$1:$D$33</definedName>
    <definedName name="_xlnm.Print_Area" localSheetId="3">'pz prod'!$A$3:$J$15</definedName>
    <definedName name="_xlnm.Print_Area" localSheetId="2">'risorse umane'!$A$1:$D$26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16" l="1"/>
  <c r="B8" i="17" l="1"/>
  <c r="C40" i="17"/>
  <c r="D40" i="17"/>
  <c r="E40" i="17"/>
  <c r="F40" i="17"/>
  <c r="G40" i="17"/>
  <c r="H40" i="17"/>
  <c r="I40" i="17"/>
  <c r="J40" i="17"/>
  <c r="K40" i="17"/>
  <c r="L40" i="17"/>
  <c r="M40" i="17"/>
  <c r="B40" i="17"/>
  <c r="B39" i="17"/>
  <c r="C38" i="17"/>
  <c r="D38" i="17"/>
  <c r="E38" i="17"/>
  <c r="F38" i="17"/>
  <c r="G38" i="17"/>
  <c r="H38" i="17"/>
  <c r="I38" i="17"/>
  <c r="J38" i="17"/>
  <c r="K38" i="17"/>
  <c r="L38" i="17"/>
  <c r="M38" i="17"/>
  <c r="B38" i="17"/>
  <c r="B37" i="17"/>
  <c r="B36" i="17"/>
  <c r="B35" i="17"/>
  <c r="B34" i="17"/>
  <c r="B33" i="17"/>
  <c r="B32" i="17"/>
  <c r="B31" i="17"/>
  <c r="C30" i="17"/>
  <c r="D30" i="17"/>
  <c r="E30" i="17"/>
  <c r="F30" i="17"/>
  <c r="G30" i="17"/>
  <c r="H30" i="17"/>
  <c r="I30" i="17"/>
  <c r="J30" i="17"/>
  <c r="K30" i="17"/>
  <c r="L30" i="17"/>
  <c r="M30" i="17"/>
  <c r="C28" i="17"/>
  <c r="D28" i="17"/>
  <c r="E28" i="17"/>
  <c r="F28" i="17"/>
  <c r="G28" i="17"/>
  <c r="H28" i="17"/>
  <c r="I28" i="17"/>
  <c r="J28" i="17"/>
  <c r="K28" i="17"/>
  <c r="L28" i="17"/>
  <c r="M28" i="17"/>
  <c r="C29" i="17"/>
  <c r="D29" i="17"/>
  <c r="E29" i="17"/>
  <c r="F29" i="17"/>
  <c r="G29" i="17"/>
  <c r="H29" i="17"/>
  <c r="I29" i="17"/>
  <c r="J29" i="17"/>
  <c r="K29" i="17"/>
  <c r="L29" i="17"/>
  <c r="M29" i="17"/>
  <c r="B29" i="17"/>
  <c r="B30" i="17"/>
  <c r="B28" i="17"/>
  <c r="C13" i="17"/>
  <c r="D13" i="17"/>
  <c r="E13" i="17"/>
  <c r="F13" i="17"/>
  <c r="G13" i="17"/>
  <c r="H13" i="17"/>
  <c r="I13" i="17"/>
  <c r="J13" i="17"/>
  <c r="K13" i="17"/>
  <c r="L13" i="17"/>
  <c r="M13" i="17"/>
  <c r="C14" i="17"/>
  <c r="D14" i="17"/>
  <c r="E14" i="17"/>
  <c r="F14" i="17"/>
  <c r="G14" i="17"/>
  <c r="H14" i="17"/>
  <c r="I14" i="17"/>
  <c r="J14" i="17"/>
  <c r="K14" i="17"/>
  <c r="L14" i="17"/>
  <c r="M14" i="17"/>
  <c r="C15" i="17"/>
  <c r="D15" i="17"/>
  <c r="E15" i="17"/>
  <c r="F15" i="17"/>
  <c r="G15" i="17"/>
  <c r="H15" i="17"/>
  <c r="I15" i="17"/>
  <c r="J15" i="17"/>
  <c r="K15" i="17"/>
  <c r="L15" i="17"/>
  <c r="M15" i="17"/>
  <c r="C16" i="17"/>
  <c r="D16" i="17"/>
  <c r="E16" i="17"/>
  <c r="F16" i="17"/>
  <c r="G16" i="17"/>
  <c r="H16" i="17"/>
  <c r="I16" i="17"/>
  <c r="J16" i="17"/>
  <c r="K16" i="17"/>
  <c r="L16" i="17"/>
  <c r="M16" i="17"/>
  <c r="C24" i="17"/>
  <c r="D24" i="17"/>
  <c r="E24" i="17"/>
  <c r="F24" i="17"/>
  <c r="G24" i="17"/>
  <c r="H24" i="17"/>
  <c r="I24" i="17"/>
  <c r="J24" i="17"/>
  <c r="K24" i="17"/>
  <c r="L24" i="17"/>
  <c r="M24" i="17"/>
  <c r="C25" i="17"/>
  <c r="D25" i="17"/>
  <c r="E25" i="17"/>
  <c r="F25" i="17"/>
  <c r="G25" i="17"/>
  <c r="H25" i="17"/>
  <c r="I25" i="17"/>
  <c r="J25" i="17"/>
  <c r="K25" i="17"/>
  <c r="L25" i="17"/>
  <c r="M25" i="17"/>
  <c r="C26" i="17"/>
  <c r="D26" i="17"/>
  <c r="E26" i="17"/>
  <c r="F26" i="17"/>
  <c r="G26" i="17"/>
  <c r="H26" i="17"/>
  <c r="I26" i="17"/>
  <c r="J26" i="17"/>
  <c r="K26" i="17"/>
  <c r="L26" i="17"/>
  <c r="M26" i="17"/>
  <c r="B26" i="17"/>
  <c r="B25" i="17"/>
  <c r="B24" i="17"/>
  <c r="C23" i="17"/>
  <c r="D23" i="17"/>
  <c r="E23" i="17"/>
  <c r="F23" i="17"/>
  <c r="G23" i="17"/>
  <c r="H23" i="17"/>
  <c r="I23" i="17"/>
  <c r="J23" i="17"/>
  <c r="K23" i="17"/>
  <c r="L23" i="17"/>
  <c r="M23" i="17"/>
  <c r="B23" i="17"/>
  <c r="C22" i="17"/>
  <c r="D22" i="17"/>
  <c r="E22" i="17"/>
  <c r="F22" i="17"/>
  <c r="G22" i="17"/>
  <c r="H22" i="17"/>
  <c r="I22" i="17"/>
  <c r="J22" i="17"/>
  <c r="K22" i="17"/>
  <c r="L22" i="17"/>
  <c r="M22" i="17"/>
  <c r="B22" i="17"/>
  <c r="C21" i="17"/>
  <c r="D21" i="17"/>
  <c r="E21" i="17"/>
  <c r="F21" i="17"/>
  <c r="G21" i="17"/>
  <c r="H21" i="17"/>
  <c r="I21" i="17"/>
  <c r="J21" i="17"/>
  <c r="K21" i="17"/>
  <c r="L21" i="17"/>
  <c r="M21" i="17"/>
  <c r="B21" i="17"/>
  <c r="C20" i="17"/>
  <c r="D20" i="17"/>
  <c r="E20" i="17"/>
  <c r="F20" i="17"/>
  <c r="G20" i="17"/>
  <c r="H20" i="17"/>
  <c r="I20" i="17"/>
  <c r="J20" i="17"/>
  <c r="K20" i="17"/>
  <c r="L20" i="17"/>
  <c r="M20" i="17"/>
  <c r="B20" i="17"/>
  <c r="M19" i="17"/>
  <c r="J19" i="17"/>
  <c r="G19" i="17"/>
  <c r="M18" i="17"/>
  <c r="J18" i="17"/>
  <c r="G18" i="17"/>
  <c r="D18" i="17"/>
  <c r="D19" i="17"/>
  <c r="B17" i="17"/>
  <c r="B16" i="17"/>
  <c r="B15" i="17"/>
  <c r="B14" i="17"/>
  <c r="B13" i="17"/>
  <c r="C12" i="17"/>
  <c r="D12" i="17"/>
  <c r="E12" i="17"/>
  <c r="F12" i="17"/>
  <c r="G12" i="17"/>
  <c r="H12" i="17"/>
  <c r="I12" i="17"/>
  <c r="J12" i="17"/>
  <c r="K12" i="17"/>
  <c r="L12" i="17"/>
  <c r="M12" i="17"/>
  <c r="B12" i="17"/>
  <c r="C11" i="17"/>
  <c r="D11" i="17"/>
  <c r="E11" i="17"/>
  <c r="F11" i="17"/>
  <c r="G11" i="17"/>
  <c r="H11" i="17"/>
  <c r="I11" i="17"/>
  <c r="J11" i="17"/>
  <c r="K11" i="17"/>
  <c r="L11" i="17"/>
  <c r="M11" i="17"/>
  <c r="B11" i="17"/>
  <c r="C10" i="17"/>
  <c r="D10" i="17"/>
  <c r="E10" i="17"/>
  <c r="F10" i="17"/>
  <c r="G10" i="17"/>
  <c r="H10" i="17"/>
  <c r="I10" i="17"/>
  <c r="J10" i="17"/>
  <c r="K10" i="17"/>
  <c r="L10" i="17"/>
  <c r="M10" i="17"/>
  <c r="B10" i="17"/>
  <c r="C9" i="17"/>
  <c r="D9" i="17"/>
  <c r="E9" i="17"/>
  <c r="F9" i="17"/>
  <c r="G9" i="17"/>
  <c r="H9" i="17"/>
  <c r="I9" i="17"/>
  <c r="J9" i="17"/>
  <c r="K9" i="17"/>
  <c r="L9" i="17"/>
  <c r="M9" i="17"/>
  <c r="B9" i="17"/>
  <c r="C8" i="17"/>
  <c r="D8" i="17"/>
  <c r="E8" i="17"/>
  <c r="F8" i="17"/>
  <c r="G8" i="17"/>
  <c r="H8" i="17"/>
  <c r="I8" i="17"/>
  <c r="J8" i="17"/>
  <c r="K8" i="17"/>
  <c r="L8" i="17"/>
  <c r="M8" i="17"/>
  <c r="C7" i="17"/>
  <c r="D7" i="17"/>
  <c r="E7" i="17"/>
  <c r="F41" i="17" s="1"/>
  <c r="F7" i="17"/>
  <c r="G7" i="17"/>
  <c r="H7" i="17"/>
  <c r="I7" i="17"/>
  <c r="J41" i="17" s="1"/>
  <c r="J7" i="17"/>
  <c r="K7" i="17"/>
  <c r="L7" i="17"/>
  <c r="M7" i="17"/>
  <c r="B7" i="17"/>
  <c r="N1" i="17"/>
  <c r="A38" i="17"/>
  <c r="A39" i="17"/>
  <c r="A40" i="17"/>
  <c r="A34" i="17"/>
  <c r="A35" i="17"/>
  <c r="A36" i="17"/>
  <c r="A3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7" i="17"/>
  <c r="B61" i="11"/>
  <c r="B53" i="11"/>
  <c r="B57" i="11"/>
  <c r="B48" i="11"/>
  <c r="B45" i="11"/>
  <c r="B50" i="11" s="1"/>
  <c r="B38" i="11"/>
  <c r="B52" i="11"/>
  <c r="B39" i="11"/>
  <c r="B43" i="11"/>
  <c r="D26" i="11"/>
  <c r="D28" i="11"/>
  <c r="D27" i="11"/>
  <c r="D34" i="11" s="1"/>
  <c r="B27" i="11"/>
  <c r="B32" i="11"/>
  <c r="B29" i="11"/>
  <c r="B28" i="11"/>
  <c r="D29" i="9"/>
  <c r="C29" i="9"/>
  <c r="B29" i="9"/>
  <c r="O41" i="17" s="1"/>
  <c r="B26" i="11"/>
  <c r="D22" i="11"/>
  <c r="E8" i="1"/>
  <c r="D8" i="1"/>
  <c r="C8" i="1"/>
  <c r="G57" i="1"/>
  <c r="E57" i="1"/>
  <c r="C57" i="1"/>
  <c r="G45" i="1"/>
  <c r="E45" i="1"/>
  <c r="C45" i="1"/>
  <c r="F38" i="16"/>
  <c r="G50" i="1"/>
  <c r="D38" i="16"/>
  <c r="E50" i="1" s="1"/>
  <c r="B38" i="16"/>
  <c r="C50" i="1" s="1"/>
  <c r="F50" i="16"/>
  <c r="G54" i="1" s="1"/>
  <c r="D50" i="16"/>
  <c r="E54" i="1"/>
  <c r="B50" i="16"/>
  <c r="C54" i="1" s="1"/>
  <c r="F31" i="16"/>
  <c r="G48" i="1" s="1"/>
  <c r="D31" i="16"/>
  <c r="E48" i="1" s="1"/>
  <c r="B31" i="16"/>
  <c r="C48" i="1" s="1"/>
  <c r="B14" i="16"/>
  <c r="C47" i="1" s="1"/>
  <c r="F14" i="16"/>
  <c r="G47" i="1" s="1"/>
  <c r="D14" i="16"/>
  <c r="E47" i="1" s="1"/>
  <c r="C17" i="15"/>
  <c r="D17" i="15"/>
  <c r="C18" i="15"/>
  <c r="D18" i="15"/>
  <c r="C19" i="15"/>
  <c r="D19" i="15"/>
  <c r="C20" i="15"/>
  <c r="D20" i="15"/>
  <c r="C21" i="15"/>
  <c r="D21" i="15"/>
  <c r="C22" i="15"/>
  <c r="D22" i="15"/>
  <c r="C23" i="15"/>
  <c r="D23" i="15"/>
  <c r="B18" i="15"/>
  <c r="B19" i="15"/>
  <c r="B20" i="15"/>
  <c r="B21" i="15"/>
  <c r="B22" i="15"/>
  <c r="B23" i="15"/>
  <c r="B17" i="15"/>
  <c r="F23" i="15"/>
  <c r="H23" i="15" s="1"/>
  <c r="F22" i="15"/>
  <c r="H22" i="15"/>
  <c r="F21" i="15"/>
  <c r="H21" i="15" s="1"/>
  <c r="F20" i="15"/>
  <c r="H20" i="15"/>
  <c r="F19" i="15"/>
  <c r="H19" i="15" s="1"/>
  <c r="F18" i="15"/>
  <c r="H18" i="15"/>
  <c r="F17" i="15"/>
  <c r="H17" i="15" s="1"/>
  <c r="H24" i="15" s="1"/>
  <c r="F7" i="15"/>
  <c r="F8" i="15"/>
  <c r="F9" i="15"/>
  <c r="H9" i="15" s="1"/>
  <c r="F10" i="15"/>
  <c r="F11" i="15"/>
  <c r="F12" i="15"/>
  <c r="F13" i="15"/>
  <c r="H13" i="15" s="1"/>
  <c r="F14" i="15"/>
  <c r="F6" i="15"/>
  <c r="B6" i="15"/>
  <c r="G6" i="15" s="1"/>
  <c r="C6" i="15"/>
  <c r="H6" i="15"/>
  <c r="D6" i="15"/>
  <c r="I6" i="15"/>
  <c r="B7" i="15"/>
  <c r="C7" i="15"/>
  <c r="H7" i="15" s="1"/>
  <c r="D7" i="15"/>
  <c r="I7" i="15"/>
  <c r="B8" i="15"/>
  <c r="G8" i="15" s="1"/>
  <c r="C8" i="15"/>
  <c r="H8" i="15"/>
  <c r="D8" i="15"/>
  <c r="I8" i="15" s="1"/>
  <c r="B9" i="15"/>
  <c r="C9" i="15"/>
  <c r="D9" i="15"/>
  <c r="I9" i="15"/>
  <c r="B10" i="15"/>
  <c r="G10" i="15" s="1"/>
  <c r="C10" i="15"/>
  <c r="H10" i="15"/>
  <c r="D10" i="15"/>
  <c r="I10" i="15" s="1"/>
  <c r="B11" i="15"/>
  <c r="C11" i="15"/>
  <c r="H11" i="15"/>
  <c r="D11" i="15"/>
  <c r="B12" i="15"/>
  <c r="G12" i="15"/>
  <c r="C12" i="15"/>
  <c r="H12" i="15" s="1"/>
  <c r="D12" i="15"/>
  <c r="I12" i="15"/>
  <c r="B13" i="15"/>
  <c r="G13" i="15" s="1"/>
  <c r="C13" i="15"/>
  <c r="D13" i="15"/>
  <c r="I13" i="15"/>
  <c r="B14" i="15"/>
  <c r="C14" i="15"/>
  <c r="H14" i="15"/>
  <c r="D14" i="15"/>
  <c r="C5" i="15"/>
  <c r="C15" i="15"/>
  <c r="D5" i="15"/>
  <c r="B5" i="15"/>
  <c r="A17" i="15"/>
  <c r="A18" i="15"/>
  <c r="A19" i="15"/>
  <c r="A20" i="15"/>
  <c r="A21" i="15"/>
  <c r="A22" i="15"/>
  <c r="A23" i="15"/>
  <c r="A24" i="15"/>
  <c r="A25" i="15"/>
  <c r="A16" i="15"/>
  <c r="A5" i="15"/>
  <c r="A6" i="15"/>
  <c r="A7" i="15"/>
  <c r="A8" i="15"/>
  <c r="A9" i="15"/>
  <c r="A10" i="15"/>
  <c r="A11" i="15"/>
  <c r="A12" i="15"/>
  <c r="A13" i="15"/>
  <c r="A14" i="15"/>
  <c r="A15" i="15"/>
  <c r="A4" i="15"/>
  <c r="J14" i="14"/>
  <c r="J13" i="14"/>
  <c r="J12" i="14"/>
  <c r="J11" i="14"/>
  <c r="J10" i="14"/>
  <c r="J9" i="14"/>
  <c r="J8" i="14"/>
  <c r="J7" i="14"/>
  <c r="J15" i="14" s="1"/>
  <c r="F7" i="16" s="1"/>
  <c r="G35" i="16" s="1"/>
  <c r="J6" i="14"/>
  <c r="J5" i="14"/>
  <c r="G14" i="14"/>
  <c r="G13" i="14"/>
  <c r="G12" i="14"/>
  <c r="G11" i="14"/>
  <c r="G10" i="14"/>
  <c r="G9" i="14"/>
  <c r="G8" i="14"/>
  <c r="G7" i="14"/>
  <c r="G6" i="14"/>
  <c r="G5" i="14"/>
  <c r="G15" i="14"/>
  <c r="D6" i="14"/>
  <c r="D7" i="14"/>
  <c r="D8" i="14"/>
  <c r="D9" i="14"/>
  <c r="D10" i="14"/>
  <c r="D11" i="14"/>
  <c r="D12" i="14"/>
  <c r="D13" i="14"/>
  <c r="D14" i="14"/>
  <c r="D5" i="14"/>
  <c r="D15" i="14"/>
  <c r="D26" i="12"/>
  <c r="F32" i="16"/>
  <c r="D17" i="12"/>
  <c r="D32" i="16" s="1"/>
  <c r="D8" i="12"/>
  <c r="B32" i="16" s="1"/>
  <c r="C17" i="11"/>
  <c r="D17" i="11"/>
  <c r="B17" i="11"/>
  <c r="C10" i="11"/>
  <c r="C18" i="11" s="1"/>
  <c r="D10" i="11"/>
  <c r="B10" i="11"/>
  <c r="C5" i="11"/>
  <c r="E36" i="1"/>
  <c r="D5" i="11"/>
  <c r="G36" i="1"/>
  <c r="B5" i="11"/>
  <c r="B18" i="11" s="1"/>
  <c r="B13" i="9"/>
  <c r="B24" i="9" s="1"/>
  <c r="C13" i="9"/>
  <c r="D13" i="9"/>
  <c r="B23" i="9"/>
  <c r="C23" i="9"/>
  <c r="D23" i="9"/>
  <c r="D31" i="9"/>
  <c r="C62" i="1"/>
  <c r="E62" i="1"/>
  <c r="G62" i="1"/>
  <c r="B30" i="11"/>
  <c r="B31" i="11" s="1"/>
  <c r="B33" i="11" s="1"/>
  <c r="D30" i="11"/>
  <c r="C31" i="9"/>
  <c r="C33" i="9" s="1"/>
  <c r="B24" i="15"/>
  <c r="G11" i="15"/>
  <c r="G9" i="15"/>
  <c r="G7" i="15"/>
  <c r="G22" i="15"/>
  <c r="G18" i="15"/>
  <c r="G19" i="15"/>
  <c r="G21" i="15"/>
  <c r="G23" i="15"/>
  <c r="C24" i="15"/>
  <c r="C25" i="15"/>
  <c r="D15" i="15"/>
  <c r="B59" i="11"/>
  <c r="B60" i="11" s="1"/>
  <c r="D18" i="11"/>
  <c r="B53" i="16"/>
  <c r="B56" i="16" s="1"/>
  <c r="B46" i="11"/>
  <c r="B47" i="11" s="1"/>
  <c r="D29" i="11"/>
  <c r="D24" i="9"/>
  <c r="D33" i="9"/>
  <c r="C24" i="9"/>
  <c r="I11" i="15"/>
  <c r="G51" i="1"/>
  <c r="B34" i="11"/>
  <c r="B36" i="11" s="1"/>
  <c r="B49" i="11"/>
  <c r="I23" i="15"/>
  <c r="I21" i="15"/>
  <c r="I19" i="15"/>
  <c r="I17" i="15"/>
  <c r="H15" i="15"/>
  <c r="H25" i="15" s="1"/>
  <c r="D33" i="16" s="1"/>
  <c r="G55" i="16"/>
  <c r="G36" i="16"/>
  <c r="G16" i="16"/>
  <c r="G44" i="16"/>
  <c r="G43" i="16"/>
  <c r="G13" i="16"/>
  <c r="G37" i="16"/>
  <c r="C58" i="1"/>
  <c r="C59" i="1"/>
  <c r="C80" i="1" s="1"/>
  <c r="D80" i="1" s="1"/>
  <c r="G42" i="1"/>
  <c r="G46" i="1" s="1"/>
  <c r="D36" i="11"/>
  <c r="D24" i="15"/>
  <c r="E53" i="1"/>
  <c r="G20" i="1"/>
  <c r="G18" i="1" s="1"/>
  <c r="G17" i="15"/>
  <c r="G24" i="15" s="1"/>
  <c r="C23" i="1" s="1"/>
  <c r="G20" i="15"/>
  <c r="I22" i="15"/>
  <c r="I20" i="15"/>
  <c r="I18" i="15"/>
  <c r="I24" i="15" s="1"/>
  <c r="G23" i="1" s="1"/>
  <c r="M43" i="17"/>
  <c r="L43" i="17"/>
  <c r="K43" i="17"/>
  <c r="I43" i="17"/>
  <c r="H43" i="17"/>
  <c r="G43" i="17"/>
  <c r="E43" i="17"/>
  <c r="D43" i="17"/>
  <c r="C3" i="17"/>
  <c r="C5" i="17"/>
  <c r="E3" i="17"/>
  <c r="E5" i="17" s="1"/>
  <c r="G3" i="17"/>
  <c r="H41" i="17" s="1"/>
  <c r="I3" i="17"/>
  <c r="I5" i="17" s="1"/>
  <c r="K3" i="17"/>
  <c r="K5" i="17"/>
  <c r="M3" i="17"/>
  <c r="M5" i="17" s="1"/>
  <c r="B7" i="16"/>
  <c r="C54" i="16" s="1"/>
  <c r="D3" i="17"/>
  <c r="D5" i="17" s="1"/>
  <c r="F3" i="17"/>
  <c r="F5" i="17" s="1"/>
  <c r="H3" i="17"/>
  <c r="H5" i="17" s="1"/>
  <c r="J3" i="17"/>
  <c r="J5" i="17" s="1"/>
  <c r="L3" i="17"/>
  <c r="L5" i="17" s="1"/>
  <c r="B3" i="17"/>
  <c r="B5" i="17" s="1"/>
  <c r="C42" i="1"/>
  <c r="C5" i="16"/>
  <c r="L41" i="17"/>
  <c r="G41" i="17"/>
  <c r="D41" i="17"/>
  <c r="C20" i="1"/>
  <c r="C18" i="1"/>
  <c r="C46" i="1"/>
  <c r="C70" i="1"/>
  <c r="D70" i="1" s="1"/>
  <c r="C46" i="16"/>
  <c r="C38" i="16"/>
  <c r="C29" i="16"/>
  <c r="C50" i="16"/>
  <c r="C25" i="16"/>
  <c r="C60" i="16"/>
  <c r="C19" i="16"/>
  <c r="C43" i="16"/>
  <c r="C44" i="16"/>
  <c r="C9" i="16"/>
  <c r="C79" i="1"/>
  <c r="D79" i="1" s="1"/>
  <c r="E28" i="1" l="1"/>
  <c r="E27" i="1" s="1"/>
  <c r="G28" i="1"/>
  <c r="G27" i="1" s="1"/>
  <c r="C28" i="1"/>
  <c r="C27" i="1" s="1"/>
  <c r="G31" i="16"/>
  <c r="C78" i="1"/>
  <c r="D78" i="1" s="1"/>
  <c r="G11" i="16"/>
  <c r="G38" i="16"/>
  <c r="G45" i="16"/>
  <c r="G32" i="16"/>
  <c r="G5" i="16"/>
  <c r="G12" i="16"/>
  <c r="G46" i="16"/>
  <c r="G42" i="16"/>
  <c r="G24" i="16"/>
  <c r="G27" i="16"/>
  <c r="G54" i="16"/>
  <c r="G21" i="16"/>
  <c r="G19" i="16"/>
  <c r="G48" i="16"/>
  <c r="G22" i="16"/>
  <c r="G47" i="16"/>
  <c r="G10" i="16"/>
  <c r="G50" i="16"/>
  <c r="G41" i="16"/>
  <c r="G14" i="16"/>
  <c r="G25" i="16"/>
  <c r="G49" i="16"/>
  <c r="G18" i="16"/>
  <c r="C53" i="16"/>
  <c r="C37" i="16"/>
  <c r="C10" i="16"/>
  <c r="C23" i="16"/>
  <c r="C47" i="16"/>
  <c r="C41" i="16"/>
  <c r="C55" i="16"/>
  <c r="C16" i="16"/>
  <c r="C24" i="16"/>
  <c r="C35" i="16"/>
  <c r="C22" i="16"/>
  <c r="K41" i="17"/>
  <c r="G5" i="17"/>
  <c r="C56" i="16"/>
  <c r="C31" i="16"/>
  <c r="C20" i="16"/>
  <c r="C49" i="16"/>
  <c r="C7" i="16"/>
  <c r="C27" i="16"/>
  <c r="C36" i="16"/>
  <c r="C30" i="16"/>
  <c r="C40" i="16"/>
  <c r="C14" i="16"/>
  <c r="C28" i="16"/>
  <c r="C12" i="16"/>
  <c r="C45" i="16"/>
  <c r="C26" i="16"/>
  <c r="C13" i="16"/>
  <c r="C6" i="16"/>
  <c r="C11" i="16"/>
  <c r="C17" i="16"/>
  <c r="C48" i="16"/>
  <c r="C21" i="16"/>
  <c r="C42" i="16"/>
  <c r="C18" i="16"/>
  <c r="C41" i="17"/>
  <c r="I27" i="17"/>
  <c r="L27" i="17"/>
  <c r="C51" i="1"/>
  <c r="C33" i="1" s="1"/>
  <c r="M27" i="17"/>
  <c r="F27" i="17"/>
  <c r="D27" i="17"/>
  <c r="G27" i="17"/>
  <c r="J27" i="17"/>
  <c r="C27" i="17"/>
  <c r="E27" i="17"/>
  <c r="H27" i="17"/>
  <c r="C32" i="16"/>
  <c r="K27" i="17"/>
  <c r="E42" i="17"/>
  <c r="J42" i="17"/>
  <c r="B35" i="11"/>
  <c r="H42" i="17"/>
  <c r="M42" i="17"/>
  <c r="D42" i="17"/>
  <c r="D44" i="17" s="1"/>
  <c r="D45" i="17" s="1"/>
  <c r="I42" i="17"/>
  <c r="B42" i="17"/>
  <c r="F42" i="17"/>
  <c r="L42" i="17"/>
  <c r="L44" i="17" s="1"/>
  <c r="L45" i="17" s="1"/>
  <c r="B15" i="15"/>
  <c r="B31" i="9"/>
  <c r="G14" i="15"/>
  <c r="B25" i="15"/>
  <c r="B33" i="9"/>
  <c r="G79" i="1"/>
  <c r="H79" i="1" s="1"/>
  <c r="I79" i="1" s="1"/>
  <c r="G78" i="1"/>
  <c r="H78" i="1" s="1"/>
  <c r="B62" i="11"/>
  <c r="E51" i="1"/>
  <c r="D51" i="16"/>
  <c r="E23" i="1"/>
  <c r="E41" i="17"/>
  <c r="E44" i="17" s="1"/>
  <c r="E45" i="17" s="1"/>
  <c r="I41" i="17"/>
  <c r="I44" i="17" s="1"/>
  <c r="I45" i="17" s="1"/>
  <c r="M41" i="17"/>
  <c r="D53" i="16"/>
  <c r="G15" i="15"/>
  <c r="D31" i="11"/>
  <c r="D37" i="11"/>
  <c r="B43" i="17"/>
  <c r="J43" i="17"/>
  <c r="F43" i="17"/>
  <c r="F44" i="17" s="1"/>
  <c r="F45" i="17" s="1"/>
  <c r="C43" i="17"/>
  <c r="E42" i="1"/>
  <c r="D35" i="11"/>
  <c r="E32" i="1" s="1"/>
  <c r="D25" i="15"/>
  <c r="G9" i="16"/>
  <c r="G30" i="16"/>
  <c r="G6" i="16"/>
  <c r="G7" i="16"/>
  <c r="G23" i="16"/>
  <c r="G26" i="16"/>
  <c r="G20" i="16"/>
  <c r="G29" i="16"/>
  <c r="G28" i="16"/>
  <c r="G60" i="16"/>
  <c r="G40" i="16"/>
  <c r="G17" i="16"/>
  <c r="C42" i="17"/>
  <c r="C36" i="1"/>
  <c r="D32" i="11"/>
  <c r="B37" i="11"/>
  <c r="B51" i="11"/>
  <c r="G42" i="17"/>
  <c r="G44" i="17" s="1"/>
  <c r="G45" i="17" s="1"/>
  <c r="K42" i="17"/>
  <c r="I14" i="15"/>
  <c r="I15" i="15" s="1"/>
  <c r="I25" i="15" s="1"/>
  <c r="F33" i="16" s="1"/>
  <c r="C44" i="17" l="1"/>
  <c r="C45" i="17" s="1"/>
  <c r="K44" i="17"/>
  <c r="K45" i="17" s="1"/>
  <c r="H44" i="17"/>
  <c r="H45" i="17" s="1"/>
  <c r="B44" i="17"/>
  <c r="B45" i="17" s="1"/>
  <c r="B46" i="17" s="1"/>
  <c r="C46" i="17" s="1"/>
  <c r="D46" i="17" s="1"/>
  <c r="E46" i="17" s="1"/>
  <c r="F46" i="17" s="1"/>
  <c r="G46" i="17" s="1"/>
  <c r="H46" i="17" s="1"/>
  <c r="I46" i="17" s="1"/>
  <c r="J46" i="17" s="1"/>
  <c r="K46" i="17" s="1"/>
  <c r="L46" i="17" s="1"/>
  <c r="M46" i="17" s="1"/>
  <c r="J44" i="17"/>
  <c r="J45" i="17" s="1"/>
  <c r="M44" i="17"/>
  <c r="M45" i="17" s="1"/>
  <c r="G53" i="1"/>
  <c r="G55" i="1" s="1"/>
  <c r="G33" i="16"/>
  <c r="F51" i="16"/>
  <c r="F53" i="16"/>
  <c r="G32" i="1"/>
  <c r="E46" i="1"/>
  <c r="E20" i="1"/>
  <c r="E18" i="1" s="1"/>
  <c r="I78" i="1"/>
  <c r="E51" i="16"/>
  <c r="D56" i="16"/>
  <c r="E56" i="16" s="1"/>
  <c r="E53" i="16"/>
  <c r="E58" i="1"/>
  <c r="E59" i="1" s="1"/>
  <c r="D33" i="11"/>
  <c r="C32" i="1" s="1"/>
  <c r="C31" i="1" s="1"/>
  <c r="E33" i="1"/>
  <c r="G33" i="1" s="1"/>
  <c r="E55" i="1"/>
  <c r="E22" i="16"/>
  <c r="E10" i="16"/>
  <c r="E36" i="16"/>
  <c r="E18" i="16"/>
  <c r="E40" i="16"/>
  <c r="E47" i="16"/>
  <c r="E54" i="16"/>
  <c r="E14" i="16"/>
  <c r="E37" i="16"/>
  <c r="E11" i="16"/>
  <c r="D52" i="16"/>
  <c r="E41" i="16"/>
  <c r="E38" i="16"/>
  <c r="E26" i="16"/>
  <c r="E43" i="16"/>
  <c r="E31" i="16"/>
  <c r="E49" i="16"/>
  <c r="E23" i="16"/>
  <c r="E30" i="16"/>
  <c r="E48" i="16"/>
  <c r="E19" i="16"/>
  <c r="E44" i="16"/>
  <c r="E5" i="16"/>
  <c r="E16" i="16"/>
  <c r="E46" i="16"/>
  <c r="E6" i="16"/>
  <c r="E9" i="16"/>
  <c r="E20" i="16"/>
  <c r="E45" i="16"/>
  <c r="E28" i="16"/>
  <c r="E50" i="16"/>
  <c r="E13" i="16"/>
  <c r="E7" i="16"/>
  <c r="E21" i="16"/>
  <c r="E27" i="16"/>
  <c r="E29" i="16"/>
  <c r="E25" i="16"/>
  <c r="E60" i="16"/>
  <c r="E42" i="16"/>
  <c r="E12" i="16"/>
  <c r="E32" i="16"/>
  <c r="E24" i="16"/>
  <c r="E35" i="16"/>
  <c r="E17" i="16"/>
  <c r="E55" i="16"/>
  <c r="E33" i="16"/>
  <c r="C24" i="1"/>
  <c r="C22" i="1" s="1"/>
  <c r="G24" i="1"/>
  <c r="G22" i="1" s="1"/>
  <c r="G25" i="15"/>
  <c r="B33" i="16" s="1"/>
  <c r="E24" i="1"/>
  <c r="E22" i="1" s="1"/>
  <c r="N41" i="17"/>
  <c r="E31" i="1" l="1"/>
  <c r="C26" i="1"/>
  <c r="D17" i="1" s="1"/>
  <c r="E52" i="16"/>
  <c r="D57" i="16"/>
  <c r="E63" i="1"/>
  <c r="E56" i="1"/>
  <c r="G51" i="16"/>
  <c r="F52" i="16"/>
  <c r="G26" i="1"/>
  <c r="H17" i="1" s="1"/>
  <c r="E70" i="1"/>
  <c r="F70" i="1" s="1"/>
  <c r="E80" i="1"/>
  <c r="F80" i="1" s="1"/>
  <c r="E26" i="1"/>
  <c r="F17" i="1" s="1"/>
  <c r="E79" i="1"/>
  <c r="F79" i="1" s="1"/>
  <c r="E78" i="1"/>
  <c r="F78" i="1" s="1"/>
  <c r="G31" i="1"/>
  <c r="B51" i="16"/>
  <c r="C53" i="1"/>
  <c r="C55" i="1" s="1"/>
  <c r="C33" i="16"/>
  <c r="F56" i="16"/>
  <c r="G56" i="16" s="1"/>
  <c r="G58" i="1"/>
  <c r="G59" i="1" s="1"/>
  <c r="G53" i="16"/>
  <c r="G56" i="1"/>
  <c r="G52" i="16" l="1"/>
  <c r="F57" i="16"/>
  <c r="E9" i="1"/>
  <c r="H26" i="1"/>
  <c r="H22" i="1"/>
  <c r="H18" i="1"/>
  <c r="G80" i="1"/>
  <c r="H80" i="1" s="1"/>
  <c r="G70" i="1"/>
  <c r="H70" i="1" s="1"/>
  <c r="I70" i="1" s="1"/>
  <c r="B52" i="16"/>
  <c r="C51" i="16"/>
  <c r="E57" i="16"/>
  <c r="D58" i="16"/>
  <c r="G63" i="1"/>
  <c r="F18" i="1"/>
  <c r="F22" i="1"/>
  <c r="F26" i="1"/>
  <c r="D9" i="1"/>
  <c r="C9" i="1"/>
  <c r="D18" i="1"/>
  <c r="D22" i="1"/>
  <c r="D26" i="1"/>
  <c r="C63" i="1"/>
  <c r="C56" i="1"/>
  <c r="I17" i="1" l="1"/>
  <c r="E58" i="16"/>
  <c r="E64" i="1"/>
  <c r="E65" i="1" s="1"/>
  <c r="B57" i="16"/>
  <c r="C52" i="16"/>
  <c r="D59" i="16"/>
  <c r="I80" i="1"/>
  <c r="F58" i="16"/>
  <c r="F59" i="16" s="1"/>
  <c r="G57" i="16"/>
  <c r="I22" i="1"/>
  <c r="I26" i="1"/>
  <c r="I18" i="1"/>
  <c r="E39" i="1" l="1"/>
  <c r="E35" i="1" s="1"/>
  <c r="E81" i="1"/>
  <c r="F81" i="1" s="1"/>
  <c r="F82" i="1" s="1"/>
  <c r="F83" i="1" s="1"/>
  <c r="E72" i="1"/>
  <c r="F72" i="1" s="1"/>
  <c r="G59" i="16"/>
  <c r="F61" i="16"/>
  <c r="G61" i="16" s="1"/>
  <c r="D61" i="16"/>
  <c r="E61" i="16" s="1"/>
  <c r="E59" i="16"/>
  <c r="C57" i="16"/>
  <c r="B58" i="16"/>
  <c r="G64" i="1"/>
  <c r="G65" i="1" s="1"/>
  <c r="G58" i="16"/>
  <c r="G39" i="1" l="1"/>
  <c r="G35" i="1" s="1"/>
  <c r="G81" i="1"/>
  <c r="H81" i="1" s="1"/>
  <c r="G72" i="1"/>
  <c r="H72" i="1" s="1"/>
  <c r="I72" i="1" s="1"/>
  <c r="E40" i="1"/>
  <c r="E68" i="1"/>
  <c r="F68" i="1" s="1"/>
  <c r="C58" i="16"/>
  <c r="C64" i="1"/>
  <c r="C65" i="1" s="1"/>
  <c r="B59" i="16"/>
  <c r="I81" i="1" l="1"/>
  <c r="I82" i="1" s="1"/>
  <c r="I83" i="1" s="1"/>
  <c r="H82" i="1"/>
  <c r="H83" i="1" s="1"/>
  <c r="F31" i="1"/>
  <c r="F27" i="1"/>
  <c r="F40" i="1"/>
  <c r="F35" i="1"/>
  <c r="D10" i="1"/>
  <c r="E69" i="1"/>
  <c r="F69" i="1" s="1"/>
  <c r="F73" i="1" s="1"/>
  <c r="F74" i="1" s="1"/>
  <c r="G40" i="1"/>
  <c r="G68" i="1"/>
  <c r="H68" i="1" s="1"/>
  <c r="I68" i="1" s="1"/>
  <c r="C39" i="1"/>
  <c r="C35" i="1" s="1"/>
  <c r="C81" i="1"/>
  <c r="D81" i="1" s="1"/>
  <c r="D82" i="1" s="1"/>
  <c r="D83" i="1" s="1"/>
  <c r="C72" i="1"/>
  <c r="D72" i="1" s="1"/>
  <c r="B61" i="16"/>
  <c r="C61" i="16" s="1"/>
  <c r="C59" i="16"/>
  <c r="E10" i="1" l="1"/>
  <c r="H40" i="1"/>
  <c r="H35" i="1"/>
  <c r="G69" i="1"/>
  <c r="H69" i="1" s="1"/>
  <c r="I69" i="1" s="1"/>
  <c r="I73" i="1" s="1"/>
  <c r="I74" i="1" s="1"/>
  <c r="H31" i="1"/>
  <c r="H27" i="1"/>
  <c r="D12" i="1"/>
  <c r="D11" i="1"/>
  <c r="C40" i="1"/>
  <c r="C68" i="1"/>
  <c r="D68" i="1" s="1"/>
  <c r="I31" i="1" l="1"/>
  <c r="I27" i="1"/>
  <c r="I35" i="1"/>
  <c r="I40" i="1"/>
  <c r="E11" i="1"/>
  <c r="E12" i="1"/>
  <c r="H73" i="1"/>
  <c r="H74" i="1" s="1"/>
  <c r="D31" i="1"/>
  <c r="C69" i="1"/>
  <c r="D69" i="1" s="1"/>
  <c r="D73" i="1" s="1"/>
  <c r="D74" i="1" s="1"/>
  <c r="D40" i="1"/>
  <c r="D27" i="1"/>
  <c r="D35" i="1"/>
  <c r="C10" i="1"/>
  <c r="C12" i="1" l="1"/>
  <c r="C11" i="1"/>
</calcChain>
</file>

<file path=xl/sharedStrings.xml><?xml version="1.0" encoding="utf-8"?>
<sst xmlns="http://schemas.openxmlformats.org/spreadsheetml/2006/main" count="398" uniqueCount="274">
  <si>
    <t xml:space="preserve">                                                        </t>
  </si>
  <si>
    <t>Importo</t>
  </si>
  <si>
    <t>%</t>
  </si>
  <si>
    <t>Stato Patrimoniale</t>
  </si>
  <si>
    <t>Rimanenze</t>
  </si>
  <si>
    <t>Altro Attivo Circolante</t>
  </si>
  <si>
    <t>di cui:  disponibilità liquide</t>
  </si>
  <si>
    <t xml:space="preserve">            crediti a breve</t>
  </si>
  <si>
    <t xml:space="preserve">            ratei e risconti</t>
  </si>
  <si>
    <t>Immobilizzazioni</t>
  </si>
  <si>
    <t>di cui:  immateriali</t>
  </si>
  <si>
    <t xml:space="preserve">             materiali</t>
  </si>
  <si>
    <t xml:space="preserve">             finanziarie</t>
  </si>
  <si>
    <t>Totale attivo</t>
  </si>
  <si>
    <t>Passivo Circolante</t>
  </si>
  <si>
    <t>di cui:debiti a breve Vs.fornitori</t>
  </si>
  <si>
    <t xml:space="preserve">           debiti a breve Vs. banche</t>
  </si>
  <si>
    <t xml:space="preserve">           ratei e risconti</t>
  </si>
  <si>
    <t>Passivo a M/L termine</t>
  </si>
  <si>
    <t>di cui:debiti a M/L termine</t>
  </si>
  <si>
    <t xml:space="preserve">           T.F.R.</t>
  </si>
  <si>
    <t xml:space="preserve">           Fondi rischi e oneri</t>
  </si>
  <si>
    <t>Mezzi Propri</t>
  </si>
  <si>
    <t>di cui:Capitale Sociale</t>
  </si>
  <si>
    <t xml:space="preserve">           Riserve</t>
  </si>
  <si>
    <t xml:space="preserve">           Utili (perd.) port. a nuovo</t>
  </si>
  <si>
    <t xml:space="preserve">           Utili (perd.) dell'esercizio</t>
  </si>
  <si>
    <t>Totale passivo</t>
  </si>
  <si>
    <t>Conto Economico</t>
  </si>
  <si>
    <t>Ricavi delle vendite e prest.</t>
  </si>
  <si>
    <t>(Fatturato)</t>
  </si>
  <si>
    <t>Variaz. rimanenze prod. finiti</t>
  </si>
  <si>
    <t>Altri ricavi e proventi</t>
  </si>
  <si>
    <t xml:space="preserve">     A) Valore della produzione</t>
  </si>
  <si>
    <t>Acquisti materie prime e merci</t>
  </si>
  <si>
    <t>Acquisizione di servizi,ecc</t>
  </si>
  <si>
    <t>Variaz. riman. mat. prime e merci</t>
  </si>
  <si>
    <t>Fitti passivi e canoni per locazioni</t>
  </si>
  <si>
    <t>Personale</t>
  </si>
  <si>
    <t>Accantonamenti</t>
  </si>
  <si>
    <t>Ammortamenti</t>
  </si>
  <si>
    <t>Oneri diversi di gestione</t>
  </si>
  <si>
    <t xml:space="preserve">     B) Costi della produzione</t>
  </si>
  <si>
    <t>Risultato operativo (A-B)</t>
  </si>
  <si>
    <t>Proventi finanziari</t>
  </si>
  <si>
    <t>Interessi e altri oneri finanziari</t>
  </si>
  <si>
    <t xml:space="preserve">    C) Proventi e oneri finanziari</t>
  </si>
  <si>
    <t>Proventi straordinari</t>
  </si>
  <si>
    <t>Oneri straordinari</t>
  </si>
  <si>
    <t xml:space="preserve">     D) Proventi e oneri straordin.</t>
  </si>
  <si>
    <t>Risult. ante imposte (A-B+C+D)</t>
  </si>
  <si>
    <t>Imposte sul reddito d'esercizio</t>
  </si>
  <si>
    <t>Utile (perdita) di periodo</t>
  </si>
  <si>
    <t>Principali indicatori</t>
  </si>
  <si>
    <t>Valore</t>
  </si>
  <si>
    <t>Scoring</t>
  </si>
  <si>
    <t xml:space="preserve">                            (tra parentesi il valore "ottimale")</t>
  </si>
  <si>
    <t>M.Prop.+ Deb.M-L/Immob.(&gt;= 1,25)</t>
  </si>
  <si>
    <t>M.Propri / Tot. Passivo    (&gt;= 15%)</t>
  </si>
  <si>
    <t>Oneri Finanziari / Fatturato (&lt;= 5%)</t>
  </si>
  <si>
    <t>(per le imprese edili: Oneri Finanziari / Valore della produzione)</t>
  </si>
  <si>
    <t>Cash Flow / Totale Attivo   (&gt;= 4%)</t>
  </si>
  <si>
    <t>Livello</t>
  </si>
  <si>
    <t>Attivo Circ. / Passivo Circ    (&gt;= 1)</t>
  </si>
  <si>
    <t>Attivo Circ. / Fatturato   (&lt;= 50%)</t>
  </si>
  <si>
    <t>Legenda: livello A : scoring &gt;= 9; livello B : scoring = 7 o = 8; livello C : scoring &lt; 7.</t>
  </si>
  <si>
    <t>(importi in migliaia di euro)</t>
  </si>
  <si>
    <t>TOTALE IMMOBILIZZAZIONI (A + B)</t>
  </si>
  <si>
    <t>B) TOTALE IMMOBILIZZAZIONI IMMATERIALI</t>
  </si>
  <si>
    <t>Avviamento</t>
  </si>
  <si>
    <t>Concessioni licenze, marchi, …</t>
  </si>
  <si>
    <t>Brevetti</t>
  </si>
  <si>
    <t>Software (Programmi informatici)</t>
  </si>
  <si>
    <t xml:space="preserve">Costi di pubblicità, ricerca, ... </t>
  </si>
  <si>
    <t>Spese di costituzione e avvio</t>
  </si>
  <si>
    <t>B) IMMOBILIZZAZIONI IMMATERIALI</t>
  </si>
  <si>
    <t>A) TOTALE IMMOBILIZZAZIONI MATERIALI</t>
  </si>
  <si>
    <t>Altri beni</t>
  </si>
  <si>
    <t>Computer</t>
  </si>
  <si>
    <t>Macchine d'ufficio</t>
  </si>
  <si>
    <t>Automezzi e altri mezzi di trasporto</t>
  </si>
  <si>
    <t>Mobili e arredi</t>
  </si>
  <si>
    <t>Attrezzature industriali e commerciali</t>
  </si>
  <si>
    <t>Macchinari</t>
  </si>
  <si>
    <t xml:space="preserve">Impianti </t>
  </si>
  <si>
    <t>A) IMMOBILIZZAZIONI MATERIALI</t>
  </si>
  <si>
    <t>3° ANNO</t>
  </si>
  <si>
    <t>2° ANNO</t>
  </si>
  <si>
    <t>1° ANNO</t>
  </si>
  <si>
    <t>COSTO AL NETTO DI IVA</t>
  </si>
  <si>
    <t>TOTALE FONTI FINANZIARIE</t>
  </si>
  <si>
    <t>TOTALE MEZZI BANCARI A B/T</t>
  </si>
  <si>
    <t>Altre forme di finanziamento</t>
  </si>
  <si>
    <t>Anticipi su contratti</t>
  </si>
  <si>
    <t>Anticipi su Ri.Ba.</t>
  </si>
  <si>
    <t>Anticipi su fatture</t>
  </si>
  <si>
    <t>Scoperti di c/c</t>
  </si>
  <si>
    <t>MEZZI BANCARI A BREVE TERMINE</t>
  </si>
  <si>
    <t>TOTALE MEZZI BANCARI A M/L TERMINE</t>
  </si>
  <si>
    <t>Altre forme di finanziamento*</t>
  </si>
  <si>
    <t>Mutui chirografari*</t>
  </si>
  <si>
    <t>MEZZI BANCARI A MEDIO/LUNGO TERMINE</t>
  </si>
  <si>
    <t>TOTALE MEZZI PROPRI</t>
  </si>
  <si>
    <t>MEZZI PROPRI</t>
  </si>
  <si>
    <t>FONTI DI FINANZIAMENTO</t>
  </si>
  <si>
    <t xml:space="preserve">TOTALE COSTO DEL LAVORO </t>
  </si>
  <si>
    <t>Lavoratori</t>
  </si>
  <si>
    <t>Costo totale</t>
  </si>
  <si>
    <t>N° giornate lavorative/anno</t>
  </si>
  <si>
    <t>Tipo di contratto</t>
  </si>
  <si>
    <t xml:space="preserve">Numero </t>
  </si>
  <si>
    <t>Quantità</t>
  </si>
  <si>
    <t>Prezzo</t>
  </si>
  <si>
    <t>Terzo anno</t>
  </si>
  <si>
    <t>Secondo anno</t>
  </si>
  <si>
    <t>Primo anno</t>
  </si>
  <si>
    <t>Prodotto/servizio</t>
  </si>
  <si>
    <t>[1] Tali percentuali si intendono medie, ma possono essere modificate dall'imprenditrice. Riferimenti legislativi: Art. 2426 c.c. e Art. 67 e segg. del TUIR e D.M. 31.12.1988.</t>
  </si>
  <si>
    <t>Fabbricati</t>
  </si>
  <si>
    <t>III anno</t>
  </si>
  <si>
    <t>II anno</t>
  </si>
  <si>
    <t>I anno</t>
  </si>
  <si>
    <t>annua[1]</t>
  </si>
  <si>
    <t>durata</t>
  </si>
  <si>
    <t>Valore annuo (Euro)</t>
  </si>
  <si>
    <t>(calcolato sommando il piano degli investimenti anno per anno)</t>
  </si>
  <si>
    <t>Ammortamento</t>
  </si>
  <si>
    <t xml:space="preserve">   Valore totale</t>
  </si>
  <si>
    <t>RISULTATO LORDO DI ESERC.</t>
  </si>
  <si>
    <t>ONERI E PROV. FINANZ.</t>
  </si>
  <si>
    <t>REDDITO OPERAT. [R-C]</t>
  </si>
  <si>
    <t>TOTALE COSTI [C]</t>
  </si>
  <si>
    <t>Totale RICAVI [R]</t>
  </si>
  <si>
    <t>Importi</t>
  </si>
  <si>
    <t>VOCI</t>
  </si>
  <si>
    <t>Crediti commerciali e altri crediti</t>
  </si>
  <si>
    <t>Cassa e banche (liquidità)</t>
  </si>
  <si>
    <t>TOTALE ATTIVO CIRCOLANTE</t>
  </si>
  <si>
    <t>TOTALE INVESTIMENTI</t>
  </si>
  <si>
    <t>Scorte di materie prime</t>
  </si>
  <si>
    <t xml:space="preserve">ATTIVO CIRCOLANTE </t>
  </si>
  <si>
    <t>IMMOBILIZZAZIONI O BENI PLURIENNALI</t>
  </si>
  <si>
    <t xml:space="preserve">Terreni </t>
  </si>
  <si>
    <t>Iva a credito su immobilizzazioni</t>
  </si>
  <si>
    <t>(comprensivo di oneri,  ecc…)</t>
  </si>
  <si>
    <t>Totale ricavi</t>
  </si>
  <si>
    <t>Ricavi di Vendita</t>
  </si>
  <si>
    <t>Altri ricavi</t>
  </si>
  <si>
    <t>Acquisti mat. Prime</t>
  </si>
  <si>
    <t>Prestazioni di terzi</t>
  </si>
  <si>
    <t>Costi di pubblicità</t>
  </si>
  <si>
    <t>Trasporti e viaggi</t>
  </si>
  <si>
    <t>Costi del personale</t>
  </si>
  <si>
    <t>Canoni leasing</t>
  </si>
  <si>
    <t xml:space="preserve">Consulenze contabili, fiscali </t>
  </si>
  <si>
    <t xml:space="preserve"> Manutenzioni e riparazioni</t>
  </si>
  <si>
    <t>Spese telefoniche</t>
  </si>
  <si>
    <t>Energia elettrica</t>
  </si>
  <si>
    <t>Interessi passivi su mutui (-)</t>
  </si>
  <si>
    <t>Interessi passivi su C/C (-)</t>
  </si>
  <si>
    <t>Interessi attivi (+)</t>
  </si>
  <si>
    <t xml:space="preserve">Acquisti merci </t>
  </si>
  <si>
    <t>Acquisti materiali di consumo</t>
  </si>
  <si>
    <t>Cancelleria e altri materiali</t>
  </si>
  <si>
    <t>ad esempio, per i negozi le borse, la carta regalo, confezioni</t>
  </si>
  <si>
    <t>materiali per pulizia, cancelleria, toner, carta, ecc.</t>
  </si>
  <si>
    <t>acquisti di prodotti finiti da rivendere/imballaggi</t>
  </si>
  <si>
    <t>acquisti materie prime e materiale sussidiario per produzione</t>
  </si>
  <si>
    <t>Totale costi materie prime e merci</t>
  </si>
  <si>
    <t>Spese per servizi</t>
  </si>
  <si>
    <t>Affitto</t>
  </si>
  <si>
    <t>Assicurazioni</t>
  </si>
  <si>
    <t>Commissioni bancarie</t>
  </si>
  <si>
    <t xml:space="preserve">spese variabili per uso di pos o carta di credito </t>
  </si>
  <si>
    <t>Spese bancarie e postali</t>
  </si>
  <si>
    <t>tenuto distinto perché per molti è forza motrice</t>
  </si>
  <si>
    <t>Carburanti e lubrificanti</t>
  </si>
  <si>
    <t>RCA, RC terzi, altre assicurazioni</t>
  </si>
  <si>
    <t>Tassa proprietà automezzi</t>
  </si>
  <si>
    <t>Tassa iscriz.annua cciaa/vidimazioni</t>
  </si>
  <si>
    <t>Tassa pubblicità</t>
  </si>
  <si>
    <t>Canone rai/siae</t>
  </si>
  <si>
    <t>Omaggi a clienti</t>
  </si>
  <si>
    <t>Spese pulizia e vigilanza</t>
  </si>
  <si>
    <t>Totale spese per servizi</t>
  </si>
  <si>
    <t>Corsi formazione/aggiornamento</t>
  </si>
  <si>
    <t>Acqua, riscaldamento altre utenze</t>
  </si>
  <si>
    <t>Abbonamenti a riviste/TV</t>
  </si>
  <si>
    <t>Quote associazioni categoria/albi</t>
  </si>
  <si>
    <t>Tassa rifiuti</t>
  </si>
  <si>
    <t xml:space="preserve">Altre spese generali </t>
  </si>
  <si>
    <t>Altre spese per servizi</t>
  </si>
  <si>
    <t>Totale oneri diversi di gestione</t>
  </si>
  <si>
    <t>Fitti passivi e canoni di locazione</t>
  </si>
  <si>
    <t>Noleggi</t>
  </si>
  <si>
    <t>Totale fitti passivi e canoni locaz.</t>
  </si>
  <si>
    <t>Imposte esercizio (aliq. 45%)</t>
  </si>
  <si>
    <t>STIMA RISULTATO NETTO</t>
  </si>
  <si>
    <t>ACCANTONAM. A RISERVA</t>
  </si>
  <si>
    <t>QUADRATURA STATO PATRIMONIALE</t>
  </si>
  <si>
    <t>TOTALE ATTIVO</t>
  </si>
  <si>
    <t>TOTALE PASSIVO</t>
  </si>
  <si>
    <t>DILAZIONE MEDIA AI CLIENTI IN GIORNI</t>
  </si>
  <si>
    <t>DILAZIONE MEDIA DAI FORNITORI IN GIORNI</t>
  </si>
  <si>
    <t>mutuo chirografario confidi</t>
  </si>
  <si>
    <t>capitale</t>
  </si>
  <si>
    <t>i% annui</t>
  </si>
  <si>
    <t>numero rate annue</t>
  </si>
  <si>
    <t>anni di rimborso</t>
  </si>
  <si>
    <t>totale rate rimborso</t>
  </si>
  <si>
    <t>n° rate rimborsate il primo anno</t>
  </si>
  <si>
    <t>n° rate rimborsate il secondo anno</t>
  </si>
  <si>
    <t>n° rate rimborsate il terzo anno</t>
  </si>
  <si>
    <t>importo rata</t>
  </si>
  <si>
    <t>totale rimborso prestito</t>
  </si>
  <si>
    <t>rate già rimborsate anno 1</t>
  </si>
  <si>
    <t>debito residuo anno 1</t>
  </si>
  <si>
    <t>rate gia rimborsate anno 2</t>
  </si>
  <si>
    <t>debito residuo anno 2</t>
  </si>
  <si>
    <t>rate gia rimborsate anno 3</t>
  </si>
  <si>
    <t>debito residuo anno 3</t>
  </si>
  <si>
    <t>Altri prestiti e mutui</t>
  </si>
  <si>
    <t>DATI DA INSERIRE</t>
  </si>
  <si>
    <t>FORMULA</t>
  </si>
  <si>
    <t xml:space="preserve">IN QUESTO FOGLIO COMPILARE SOLO LE DUE DILAZIONI DI PAGAMENTO E LA QUADRATURA NELLE </t>
  </si>
  <si>
    <t>CELLE INDICATE, TUTTO IL RESTO E' COMPILATO IN AUTOMATICO</t>
  </si>
  <si>
    <t>% IVA SU BENI</t>
  </si>
  <si>
    <t>celle da compilare non proteggere</t>
  </si>
  <si>
    <t>attenzione: fondamentale inserire i mutui altrimenti il foglio finale non quadra</t>
  </si>
  <si>
    <t>Prelievo titolare c/to utili</t>
  </si>
  <si>
    <t>Dato da inserire alla voce debiti bancari a breve riga 28 se &gt; 0</t>
  </si>
  <si>
    <t>Dato da inserire alla voce disponibilità liquide riga 18 se &gt; 0</t>
  </si>
  <si>
    <t>01/10 - 31/12/2011</t>
  </si>
  <si>
    <t>Anno 1</t>
  </si>
  <si>
    <t>Anno 2</t>
  </si>
  <si>
    <t>Anno 3</t>
  </si>
  <si>
    <t>durata in mesi dell'esercizio</t>
  </si>
  <si>
    <t>anno 1</t>
  </si>
  <si>
    <t>anno 2</t>
  </si>
  <si>
    <t>anno 3</t>
  </si>
  <si>
    <t>18/36 mesi</t>
  </si>
  <si>
    <t>DATI DA INSERIRE: altri prestiti anno 1</t>
  </si>
  <si>
    <t>DATI DA INSERIRE: altri prestiti anno 2</t>
  </si>
  <si>
    <t>DATI DA INSERIRE: altri prestiti anno 3</t>
  </si>
  <si>
    <t>gen</t>
  </si>
  <si>
    <t>feb</t>
  </si>
  <si>
    <t>mar</t>
  </si>
  <si>
    <t>apr</t>
  </si>
  <si>
    <t>mag</t>
  </si>
  <si>
    <t>giu</t>
  </si>
  <si>
    <t>lug</t>
  </si>
  <si>
    <t>ago</t>
  </si>
  <si>
    <t>set</t>
  </si>
  <si>
    <t>ott</t>
  </si>
  <si>
    <t>nov</t>
  </si>
  <si>
    <t>dic</t>
  </si>
  <si>
    <t>entrate fatturato</t>
  </si>
  <si>
    <t>altre entrate</t>
  </si>
  <si>
    <t>totale entrate</t>
  </si>
  <si>
    <t>uscite per:</t>
  </si>
  <si>
    <t>Rimborsi mutuo 2 (foglio copertura investimenti)</t>
  </si>
  <si>
    <t>Rimborsi mutuo 1 (foglio copertura investimenti)</t>
  </si>
  <si>
    <t xml:space="preserve">Consulenze specialistiche </t>
  </si>
  <si>
    <t>% del fatturato conseguito per mese (da inserire)</t>
  </si>
  <si>
    <t>IMU</t>
  </si>
  <si>
    <t>IVA VENDITE</t>
  </si>
  <si>
    <t>MEDIA IVA ACQUISTI</t>
  </si>
  <si>
    <t>TOTALE USCITE</t>
  </si>
  <si>
    <t>Iva a debito da versare</t>
  </si>
  <si>
    <t>saldo mese entrate - uscite</t>
  </si>
  <si>
    <t>saldo progressivo mesi</t>
  </si>
  <si>
    <t>totale IVA DOVUTA</t>
  </si>
  <si>
    <t>CREDITO IVA INIZIALE</t>
  </si>
  <si>
    <t xml:space="preserve">COMPENSARE MANUALMENTE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</si>
</sst>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€&quot;\ #,##0;[Red]\-&quot;€&quot;\ #,##0"/>
    <numFmt numFmtId="8" formatCode="&quot;€&quot;\ #,##0.00;[Red]\-&quot;€&quot;\ #,##0.00"/>
    <numFmt numFmtId="41" formatCode="_-* #,##0_-;\-* #,##0_-;_-* &quot;-&quot;_-;_-@_-"/>
    <numFmt numFmtId="44" formatCode="_-&quot;€&quot;\ * #,##0.00_-;\-&quot;€&quot;\ * #,##0.00_-;_-&quot;€&quot;\ * &quot;-&quot;??_-;_-@_-"/>
    <numFmt numFmtId="43" formatCode="_-* #,##0.00_-;\-* #,##0.00_-;_-* &quot;-&quot;??_-;_-@_-"/>
    <numFmt numFmtId="164" formatCode="_-&quot;L.&quot;\ * #,##0.00_-;\-&quot;L.&quot;\ * #,##0.00_-;_-&quot;L.&quot;\ * &quot;-&quot;??_-;_-@_-"/>
    <numFmt numFmtId="165" formatCode="#,##0;[Red]\(#,##0\)"/>
    <numFmt numFmtId="166" formatCode="&quot;€&quot;\ #,##0.00"/>
    <numFmt numFmtId="167" formatCode="_-[$€-410]\ * #,##0.00_-;\-[$€-410]\ * #,##0.00_-;_-[$€-410]\ * &quot;-&quot;??_-;_-@_-"/>
    <numFmt numFmtId="168" formatCode="_-* #,##0_-;\-* #,##0_-;_-* &quot;-&quot;??_-;_-@_-"/>
    <numFmt numFmtId="169" formatCode="[$€-410]\ #,##0.00;[Red]\-[$€-410]\ #,##0.00"/>
  </numFmts>
  <fonts count="3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u/>
      <sz val="12"/>
      <name val="Times New Roman"/>
      <family val="1"/>
    </font>
    <font>
      <b/>
      <sz val="12"/>
      <color indexed="12"/>
      <name val="Times New Roman"/>
      <family val="1"/>
    </font>
    <font>
      <sz val="12"/>
      <color indexed="17"/>
      <name val="Times New Roman"/>
      <family val="1"/>
    </font>
    <font>
      <sz val="12"/>
      <color indexed="12"/>
      <name val="Times New Roman"/>
      <family val="1"/>
    </font>
    <font>
      <b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sz val="12"/>
      <color indexed="17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Times New Roman"/>
      <family val="1"/>
    </font>
    <font>
      <sz val="9"/>
      <color indexed="12"/>
      <name val="Times New Roman"/>
      <family val="1"/>
    </font>
    <font>
      <b/>
      <u/>
      <sz val="10"/>
      <name val="Arial"/>
      <family val="2"/>
    </font>
    <font>
      <b/>
      <u/>
      <sz val="12"/>
      <name val="Times New Roman"/>
      <family val="1"/>
    </font>
    <font>
      <b/>
      <sz val="12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0"/>
      <color indexed="10"/>
      <name val="Times New Roman"/>
      <family val="1"/>
    </font>
    <font>
      <b/>
      <sz val="11"/>
      <color indexed="8"/>
      <name val="Times New Roman"/>
      <family val="1"/>
    </font>
    <font>
      <sz val="10"/>
      <color indexed="10"/>
      <name val="Times New Roman"/>
      <family val="1"/>
    </font>
    <font>
      <u/>
      <sz val="10"/>
      <color indexed="12"/>
      <name val="Times New Roman"/>
      <family val="1"/>
    </font>
    <font>
      <b/>
      <i/>
      <sz val="10"/>
      <color indexed="10"/>
      <name val="Arial"/>
      <family val="2"/>
    </font>
    <font>
      <b/>
      <i/>
      <sz val="10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1"/>
      <color indexed="8"/>
      <name val="Times New Roman"/>
      <family val="1"/>
    </font>
    <font>
      <i/>
      <sz val="10"/>
      <color indexed="8"/>
      <name val="Times New Roman"/>
      <family val="1"/>
    </font>
    <font>
      <b/>
      <i/>
      <u/>
      <sz val="10"/>
      <name val="Arial"/>
      <family val="2"/>
    </font>
    <font>
      <b/>
      <sz val="11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7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58">
    <xf numFmtId="0" fontId="0" fillId="0" borderId="0" xfId="0"/>
    <xf numFmtId="0" fontId="20" fillId="0" borderId="1" xfId="0" applyFont="1" applyBorder="1" applyAlignment="1">
      <alignment horizontal="right" vertical="top" wrapText="1"/>
    </xf>
    <xf numFmtId="0" fontId="21" fillId="0" borderId="1" xfId="0" applyFont="1" applyBorder="1" applyAlignment="1">
      <alignment horizontal="right" vertical="top" wrapText="1"/>
    </xf>
    <xf numFmtId="0" fontId="21" fillId="0" borderId="1" xfId="0" applyFont="1" applyBorder="1" applyAlignment="1">
      <alignment vertical="top" wrapText="1"/>
    </xf>
    <xf numFmtId="0" fontId="21" fillId="0" borderId="1" xfId="0" applyFont="1" applyBorder="1" applyAlignment="1">
      <alignment horizontal="center" vertical="top" wrapText="1"/>
    </xf>
    <xf numFmtId="0" fontId="21" fillId="0" borderId="0" xfId="0" applyFont="1" applyAlignment="1">
      <alignment vertical="top" wrapText="1"/>
    </xf>
    <xf numFmtId="0" fontId="20" fillId="0" borderId="1" xfId="0" applyFont="1" applyBorder="1" applyAlignment="1">
      <alignment horizontal="center" vertical="top" wrapText="1"/>
    </xf>
    <xf numFmtId="0" fontId="22" fillId="0" borderId="1" xfId="0" applyFont="1" applyBorder="1" applyAlignment="1">
      <alignment vertical="top" wrapText="1"/>
    </xf>
    <xf numFmtId="166" fontId="21" fillId="0" borderId="1" xfId="0" applyNumberFormat="1" applyFont="1" applyBorder="1" applyAlignment="1">
      <alignment horizontal="center" vertical="top" wrapText="1"/>
    </xf>
    <xf numFmtId="166" fontId="20" fillId="0" borderId="1" xfId="0" applyNumberFormat="1" applyFont="1" applyBorder="1" applyAlignment="1">
      <alignment horizontal="center" vertical="top" wrapText="1"/>
    </xf>
    <xf numFmtId="0" fontId="23" fillId="0" borderId="1" xfId="0" applyFont="1" applyBorder="1" applyAlignment="1">
      <alignment vertical="top" wrapText="1"/>
    </xf>
    <xf numFmtId="166" fontId="21" fillId="0" borderId="1" xfId="0" applyNumberFormat="1" applyFont="1" applyBorder="1" applyAlignment="1">
      <alignment horizontal="left" vertical="top" wrapText="1"/>
    </xf>
    <xf numFmtId="9" fontId="21" fillId="0" borderId="1" xfId="4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1" fillId="0" borderId="0" xfId="0" applyFont="1"/>
    <xf numFmtId="0" fontId="25" fillId="0" borderId="1" xfId="0" applyFont="1" applyBorder="1" applyAlignment="1">
      <alignment horizontal="center" vertical="top" wrapText="1"/>
    </xf>
    <xf numFmtId="0" fontId="20" fillId="0" borderId="1" xfId="0" applyFont="1" applyBorder="1" applyAlignment="1">
      <alignment vertical="top" wrapText="1"/>
    </xf>
    <xf numFmtId="0" fontId="22" fillId="2" borderId="1" xfId="0" applyFont="1" applyFill="1" applyBorder="1" applyAlignment="1">
      <alignment vertical="top" wrapText="1"/>
    </xf>
    <xf numFmtId="166" fontId="20" fillId="2" borderId="1" xfId="0" applyNumberFormat="1" applyFont="1" applyFill="1" applyBorder="1" applyAlignment="1">
      <alignment horizontal="center" vertical="top" wrapText="1"/>
    </xf>
    <xf numFmtId="0" fontId="20" fillId="2" borderId="1" xfId="0" applyFont="1" applyFill="1" applyBorder="1" applyAlignment="1">
      <alignment horizontal="center" vertical="top" wrapText="1"/>
    </xf>
    <xf numFmtId="0" fontId="21" fillId="0" borderId="2" xfId="0" applyFont="1" applyBorder="1" applyAlignment="1">
      <alignment vertical="top" wrapText="1"/>
    </xf>
    <xf numFmtId="166" fontId="21" fillId="2" borderId="1" xfId="0" applyNumberFormat="1" applyFont="1" applyFill="1" applyBorder="1" applyAlignment="1">
      <alignment horizontal="center" vertical="top" wrapText="1"/>
    </xf>
    <xf numFmtId="0" fontId="20" fillId="2" borderId="1" xfId="0" applyFont="1" applyFill="1" applyBorder="1" applyAlignment="1">
      <alignment vertical="top" wrapText="1"/>
    </xf>
    <xf numFmtId="0" fontId="20" fillId="3" borderId="1" xfId="0" applyFont="1" applyFill="1" applyBorder="1" applyAlignment="1">
      <alignment vertical="top" wrapText="1"/>
    </xf>
    <xf numFmtId="166" fontId="20" fillId="3" borderId="1" xfId="0" applyNumberFormat="1" applyFont="1" applyFill="1" applyBorder="1" applyAlignment="1">
      <alignment horizontal="center" vertical="top" wrapText="1"/>
    </xf>
    <xf numFmtId="0" fontId="22" fillId="3" borderId="1" xfId="0" applyFont="1" applyFill="1" applyBorder="1" applyAlignment="1">
      <alignment vertical="top" wrapText="1"/>
    </xf>
    <xf numFmtId="167" fontId="20" fillId="2" borderId="1" xfId="5" applyNumberFormat="1" applyFont="1" applyFill="1" applyBorder="1" applyAlignment="1">
      <alignment horizontal="right" vertical="top" wrapText="1"/>
    </xf>
    <xf numFmtId="0" fontId="25" fillId="0" borderId="3" xfId="0" applyFont="1" applyBorder="1" applyAlignment="1">
      <alignment horizontal="center" vertical="top" wrapText="1"/>
    </xf>
    <xf numFmtId="0" fontId="25" fillId="0" borderId="4" xfId="0" applyFont="1" applyBorder="1" applyAlignment="1">
      <alignment horizontal="center" vertical="top" wrapText="1"/>
    </xf>
    <xf numFmtId="167" fontId="25" fillId="0" borderId="4" xfId="0" applyNumberFormat="1" applyFont="1" applyBorder="1" applyAlignment="1">
      <alignment horizontal="center" vertical="top" wrapText="1"/>
    </xf>
    <xf numFmtId="167" fontId="25" fillId="0" borderId="5" xfId="0" applyNumberFormat="1" applyFont="1" applyBorder="1" applyAlignment="1">
      <alignment horizontal="center" vertical="top" wrapText="1"/>
    </xf>
    <xf numFmtId="0" fontId="5" fillId="0" borderId="0" xfId="0" applyFont="1"/>
    <xf numFmtId="167" fontId="6" fillId="2" borderId="6" xfId="0" applyNumberFormat="1" applyFont="1" applyFill="1" applyBorder="1"/>
    <xf numFmtId="0" fontId="6" fillId="2" borderId="1" xfId="0" applyFont="1" applyFill="1" applyBorder="1"/>
    <xf numFmtId="0" fontId="26" fillId="0" borderId="0" xfId="0" applyFont="1"/>
    <xf numFmtId="167" fontId="21" fillId="0" borderId="1" xfId="0" applyNumberFormat="1" applyFont="1" applyBorder="1" applyAlignment="1">
      <alignment horizontal="right" vertical="top" wrapText="1"/>
    </xf>
    <xf numFmtId="9" fontId="27" fillId="0" borderId="1" xfId="4" applyFont="1" applyBorder="1" applyAlignment="1">
      <alignment horizontal="center" vertical="top" wrapText="1"/>
    </xf>
    <xf numFmtId="9" fontId="21" fillId="0" borderId="1" xfId="4" applyFont="1" applyBorder="1" applyAlignment="1">
      <alignment horizontal="right" vertical="top" wrapText="1"/>
    </xf>
    <xf numFmtId="9" fontId="5" fillId="0" borderId="0" xfId="4" applyFont="1"/>
    <xf numFmtId="0" fontId="21" fillId="2" borderId="1" xfId="0" applyFont="1" applyFill="1" applyBorder="1" applyAlignment="1">
      <alignment horizontal="center" vertical="top" wrapText="1"/>
    </xf>
    <xf numFmtId="9" fontId="21" fillId="2" borderId="1" xfId="4" applyFont="1" applyFill="1" applyBorder="1" applyAlignment="1">
      <alignment horizontal="center" vertical="top" wrapText="1"/>
    </xf>
    <xf numFmtId="167" fontId="20" fillId="2" borderId="1" xfId="0" applyNumberFormat="1" applyFont="1" applyFill="1" applyBorder="1" applyAlignment="1">
      <alignment horizontal="right" vertical="top" wrapText="1"/>
    </xf>
    <xf numFmtId="9" fontId="20" fillId="2" borderId="1" xfId="4" applyFont="1" applyFill="1" applyBorder="1" applyAlignment="1">
      <alignment horizontal="center" vertical="top" wrapText="1"/>
    </xf>
    <xf numFmtId="167" fontId="21" fillId="0" borderId="1" xfId="5" applyNumberFormat="1" applyFont="1" applyBorder="1" applyAlignment="1">
      <alignment horizontal="right" vertical="top" wrapText="1"/>
    </xf>
    <xf numFmtId="167" fontId="6" fillId="3" borderId="1" xfId="0" applyNumberFormat="1" applyFont="1" applyFill="1" applyBorder="1"/>
    <xf numFmtId="0" fontId="6" fillId="3" borderId="1" xfId="0" applyFont="1" applyFill="1" applyBorder="1" applyAlignment="1">
      <alignment horizontal="center"/>
    </xf>
    <xf numFmtId="9" fontId="20" fillId="3" borderId="1" xfId="4" applyFont="1" applyFill="1" applyBorder="1" applyAlignment="1">
      <alignment horizontal="center" vertical="top" wrapText="1"/>
    </xf>
    <xf numFmtId="0" fontId="20" fillId="0" borderId="1" xfId="0" applyFont="1" applyBorder="1" applyAlignment="1">
      <alignment horizontal="left" vertical="top" wrapText="1"/>
    </xf>
    <xf numFmtId="9" fontId="20" fillId="2" borderId="1" xfId="4" applyFont="1" applyFill="1" applyBorder="1" applyAlignment="1">
      <alignment horizontal="right" vertical="top" wrapText="1"/>
    </xf>
    <xf numFmtId="9" fontId="20" fillId="3" borderId="1" xfId="4" applyFont="1" applyFill="1" applyBorder="1" applyAlignment="1">
      <alignment horizontal="right" vertical="top" wrapText="1"/>
    </xf>
    <xf numFmtId="9" fontId="20" fillId="0" borderId="1" xfId="4" applyFont="1" applyBorder="1" applyAlignment="1">
      <alignment horizontal="right" vertical="top" wrapText="1"/>
    </xf>
    <xf numFmtId="0" fontId="4" fillId="0" borderId="0" xfId="0" applyFont="1"/>
    <xf numFmtId="0" fontId="4" fillId="0" borderId="7" xfId="0" applyFont="1" applyBorder="1" applyAlignment="1">
      <alignment horizontal="centerContinuous"/>
    </xf>
    <xf numFmtId="0" fontId="4" fillId="0" borderId="1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4" fillId="0" borderId="9" xfId="0" applyFont="1" applyBorder="1"/>
    <xf numFmtId="9" fontId="4" fillId="0" borderId="10" xfId="4" applyFont="1" applyBorder="1" applyAlignment="1">
      <alignment horizontal="center"/>
    </xf>
    <xf numFmtId="9" fontId="4" fillId="0" borderId="11" xfId="4" applyFont="1" applyBorder="1" applyAlignment="1">
      <alignment horizontal="center"/>
    </xf>
    <xf numFmtId="0" fontId="8" fillId="0" borderId="8" xfId="0" applyFont="1" applyBorder="1"/>
    <xf numFmtId="38" fontId="9" fillId="0" borderId="8" xfId="0" applyNumberFormat="1" applyFont="1" applyBorder="1"/>
    <xf numFmtId="38" fontId="10" fillId="0" borderId="8" xfId="0" applyNumberFormat="1" applyFont="1" applyBorder="1"/>
    <xf numFmtId="0" fontId="9" fillId="0" borderId="8" xfId="0" applyFont="1" applyBorder="1"/>
    <xf numFmtId="38" fontId="9" fillId="3" borderId="1" xfId="0" applyNumberFormat="1" applyFont="1" applyFill="1" applyBorder="1" applyProtection="1">
      <protection locked="0"/>
    </xf>
    <xf numFmtId="9" fontId="4" fillId="3" borderId="1" xfId="4" applyFont="1" applyFill="1" applyBorder="1" applyAlignment="1" applyProtection="1">
      <alignment horizontal="center"/>
      <protection locked="0"/>
    </xf>
    <xf numFmtId="38" fontId="10" fillId="3" borderId="1" xfId="0" applyNumberFormat="1" applyFont="1" applyFill="1" applyBorder="1" applyProtection="1">
      <protection locked="0"/>
    </xf>
    <xf numFmtId="0" fontId="3" fillId="0" borderId="0" xfId="0" applyFont="1"/>
    <xf numFmtId="9" fontId="9" fillId="3" borderId="1" xfId="4" applyFont="1" applyFill="1" applyBorder="1" applyAlignment="1" applyProtection="1">
      <alignment horizontal="center"/>
      <protection locked="0"/>
    </xf>
    <xf numFmtId="0" fontId="9" fillId="0" borderId="0" xfId="0" applyFont="1"/>
    <xf numFmtId="0" fontId="11" fillId="0" borderId="8" xfId="0" applyFont="1" applyBorder="1" applyAlignment="1">
      <alignment horizontal="center"/>
    </xf>
    <xf numFmtId="38" fontId="12" fillId="0" borderId="8" xfId="0" applyNumberFormat="1" applyFont="1" applyBorder="1"/>
    <xf numFmtId="38" fontId="10" fillId="0" borderId="8" xfId="0" applyNumberFormat="1" applyFont="1" applyBorder="1" applyAlignment="1">
      <alignment horizontal="right"/>
    </xf>
    <xf numFmtId="0" fontId="7" fillId="0" borderId="9" xfId="0" applyFont="1" applyBorder="1" applyAlignment="1">
      <alignment horizontal="centerContinuous"/>
    </xf>
    <xf numFmtId="0" fontId="13" fillId="0" borderId="8" xfId="0" applyFont="1" applyBorder="1"/>
    <xf numFmtId="0" fontId="11" fillId="0" borderId="8" xfId="0" applyFont="1" applyBorder="1"/>
    <xf numFmtId="0" fontId="12" fillId="0" borderId="8" xfId="0" applyFont="1" applyBorder="1"/>
    <xf numFmtId="165" fontId="9" fillId="3" borderId="1" xfId="0" applyNumberFormat="1" applyFont="1" applyFill="1" applyBorder="1" applyProtection="1">
      <protection locked="0"/>
    </xf>
    <xf numFmtId="165" fontId="10" fillId="0" borderId="8" xfId="0" applyNumberFormat="1" applyFont="1" applyBorder="1"/>
    <xf numFmtId="165" fontId="12" fillId="0" borderId="8" xfId="0" applyNumberFormat="1" applyFont="1" applyBorder="1"/>
    <xf numFmtId="9" fontId="12" fillId="0" borderId="11" xfId="4" applyFont="1" applyBorder="1" applyAlignment="1">
      <alignment horizontal="center"/>
    </xf>
    <xf numFmtId="0" fontId="9" fillId="3" borderId="1" xfId="0" applyFont="1" applyFill="1" applyBorder="1" applyProtection="1">
      <protection locked="0"/>
    </xf>
    <xf numFmtId="0" fontId="11" fillId="0" borderId="12" xfId="0" applyFont="1" applyBorder="1"/>
    <xf numFmtId="165" fontId="12" fillId="0" borderId="12" xfId="0" applyNumberFormat="1" applyFont="1" applyBorder="1" applyAlignment="1">
      <alignment horizontal="right"/>
    </xf>
    <xf numFmtId="9" fontId="12" fillId="0" borderId="13" xfId="4" applyFont="1" applyBorder="1" applyAlignment="1">
      <alignment horizontal="center"/>
    </xf>
    <xf numFmtId="0" fontId="12" fillId="0" borderId="0" xfId="0" applyFont="1"/>
    <xf numFmtId="0" fontId="12" fillId="0" borderId="14" xfId="0" applyFont="1" applyBorder="1"/>
    <xf numFmtId="0" fontId="7" fillId="0" borderId="8" xfId="0" applyFont="1" applyBorder="1" applyAlignment="1">
      <alignment horizontal="centerContinuous"/>
    </xf>
    <xf numFmtId="0" fontId="4" fillId="0" borderId="15" xfId="0" applyFont="1" applyBorder="1" applyAlignment="1">
      <alignment horizontal="center"/>
    </xf>
    <xf numFmtId="9" fontId="14" fillId="0" borderId="15" xfId="4" applyFont="1" applyBorder="1" applyAlignment="1">
      <alignment horizontal="center"/>
    </xf>
    <xf numFmtId="0" fontId="4" fillId="0" borderId="8" xfId="0" applyFont="1" applyBorder="1"/>
    <xf numFmtId="0" fontId="14" fillId="0" borderId="0" xfId="0" applyFont="1"/>
    <xf numFmtId="0" fontId="14" fillId="0" borderId="16" xfId="0" applyFont="1" applyBorder="1"/>
    <xf numFmtId="0" fontId="10" fillId="0" borderId="8" xfId="0" applyFont="1" applyBorder="1"/>
    <xf numFmtId="2" fontId="10" fillId="0" borderId="1" xfId="3" applyNumberFormat="1" applyFont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10" fontId="10" fillId="0" borderId="1" xfId="0" applyNumberFormat="1" applyFont="1" applyBorder="1" applyAlignment="1">
      <alignment horizontal="center"/>
    </xf>
    <xf numFmtId="10" fontId="10" fillId="0" borderId="0" xfId="0" applyNumberFormat="1" applyFont="1" applyAlignment="1">
      <alignment horizontal="center"/>
    </xf>
    <xf numFmtId="0" fontId="14" fillId="0" borderId="0" xfId="0" quotePrefix="1" applyFont="1" applyAlignment="1">
      <alignment horizontal="center"/>
    </xf>
    <xf numFmtId="0" fontId="14" fillId="0" borderId="16" xfId="0" quotePrefix="1" applyFont="1" applyBorder="1" applyAlignment="1">
      <alignment horizontal="center"/>
    </xf>
    <xf numFmtId="10" fontId="8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165" fontId="14" fillId="0" borderId="0" xfId="0" applyNumberFormat="1" applyFont="1" applyAlignment="1">
      <alignment horizontal="center"/>
    </xf>
    <xf numFmtId="165" fontId="14" fillId="0" borderId="11" xfId="0" applyNumberFormat="1" applyFont="1" applyBorder="1" applyAlignment="1">
      <alignment horizontal="center"/>
    </xf>
    <xf numFmtId="0" fontId="4" fillId="0" borderId="17" xfId="0" applyFont="1" applyBorder="1"/>
    <xf numFmtId="0" fontId="10" fillId="0" borderId="14" xfId="0" applyFont="1" applyBorder="1"/>
    <xf numFmtId="0" fontId="10" fillId="0" borderId="13" xfId="0" applyFont="1" applyBorder="1"/>
    <xf numFmtId="0" fontId="4" fillId="0" borderId="14" xfId="0" applyFont="1" applyBorder="1"/>
    <xf numFmtId="0" fontId="4" fillId="0" borderId="8" xfId="0" applyFont="1" applyBorder="1" applyAlignment="1">
      <alignment horizontal="centerContinuous"/>
    </xf>
    <xf numFmtId="9" fontId="4" fillId="0" borderId="15" xfId="4" applyFont="1" applyBorder="1" applyAlignment="1">
      <alignment horizontal="center"/>
    </xf>
    <xf numFmtId="0" fontId="4" fillId="0" borderId="16" xfId="0" applyFont="1" applyBorder="1"/>
    <xf numFmtId="1" fontId="4" fillId="0" borderId="1" xfId="0" quotePrefix="1" applyNumberFormat="1" applyFont="1" applyBorder="1" applyAlignment="1">
      <alignment horizontal="center"/>
    </xf>
    <xf numFmtId="0" fontId="4" fillId="0" borderId="1" xfId="0" quotePrefix="1" applyFont="1" applyBorder="1" applyAlignment="1">
      <alignment horizontal="center"/>
    </xf>
    <xf numFmtId="0" fontId="15" fillId="0" borderId="8" xfId="0" applyFont="1" applyBorder="1"/>
    <xf numFmtId="10" fontId="15" fillId="0" borderId="0" xfId="0" applyNumberFormat="1" applyFont="1" applyAlignment="1">
      <alignment horizontal="center"/>
    </xf>
    <xf numFmtId="10" fontId="8" fillId="0" borderId="14" xfId="0" applyNumberFormat="1" applyFont="1" applyBorder="1" applyAlignment="1">
      <alignment horizontal="center"/>
    </xf>
    <xf numFmtId="165" fontId="14" fillId="0" borderId="14" xfId="0" applyNumberFormat="1" applyFont="1" applyBorder="1" applyAlignment="1">
      <alignment horizontal="center"/>
    </xf>
    <xf numFmtId="165" fontId="14" fillId="0" borderId="13" xfId="0" applyNumberFormat="1" applyFont="1" applyBorder="1" applyAlignment="1">
      <alignment horizontal="center"/>
    </xf>
    <xf numFmtId="0" fontId="16" fillId="0" borderId="8" xfId="0" applyFont="1" applyBorder="1"/>
    <xf numFmtId="0" fontId="4" fillId="0" borderId="12" xfId="0" applyFont="1" applyBorder="1"/>
    <xf numFmtId="8" fontId="2" fillId="2" borderId="18" xfId="0" applyNumberFormat="1" applyFont="1" applyFill="1" applyBorder="1"/>
    <xf numFmtId="166" fontId="21" fillId="4" borderId="1" xfId="0" applyNumberFormat="1" applyFont="1" applyFill="1" applyBorder="1" applyAlignment="1">
      <alignment horizontal="center" vertical="top" wrapText="1"/>
    </xf>
    <xf numFmtId="166" fontId="21" fillId="5" borderId="1" xfId="0" applyNumberFormat="1" applyFont="1" applyFill="1" applyBorder="1" applyAlignment="1">
      <alignment horizontal="center" vertical="top" wrapText="1"/>
    </xf>
    <xf numFmtId="0" fontId="1" fillId="0" borderId="19" xfId="0" applyFont="1" applyBorder="1"/>
    <xf numFmtId="0" fontId="1" fillId="0" borderId="20" xfId="0" applyFont="1" applyBorder="1"/>
    <xf numFmtId="168" fontId="9" fillId="3" borderId="1" xfId="2" applyNumberFormat="1" applyFont="1" applyFill="1" applyBorder="1" applyProtection="1">
      <protection locked="0"/>
    </xf>
    <xf numFmtId="168" fontId="9" fillId="3" borderId="1" xfId="2" applyNumberFormat="1" applyFont="1" applyFill="1" applyBorder="1" applyAlignment="1" applyProtection="1">
      <alignment horizontal="center"/>
      <protection locked="0"/>
    </xf>
    <xf numFmtId="0" fontId="22" fillId="0" borderId="0" xfId="0" applyFont="1" applyAlignment="1">
      <alignment vertical="top" wrapText="1"/>
    </xf>
    <xf numFmtId="166" fontId="20" fillId="0" borderId="0" xfId="0" applyNumberFormat="1" applyFont="1" applyAlignment="1">
      <alignment horizontal="center" vertical="top" wrapText="1"/>
    </xf>
    <xf numFmtId="0" fontId="1" fillId="0" borderId="21" xfId="0" applyFont="1" applyBorder="1"/>
    <xf numFmtId="10" fontId="0" fillId="5" borderId="22" xfId="0" applyNumberFormat="1" applyFill="1" applyBorder="1"/>
    <xf numFmtId="0" fontId="0" fillId="5" borderId="22" xfId="0" applyFill="1" applyBorder="1"/>
    <xf numFmtId="0" fontId="0" fillId="0" borderId="22" xfId="0" applyBorder="1"/>
    <xf numFmtId="0" fontId="17" fillId="6" borderId="23" xfId="0" applyFont="1" applyFill="1" applyBorder="1" applyAlignment="1">
      <alignment horizontal="center"/>
    </xf>
    <xf numFmtId="10" fontId="0" fillId="6" borderId="22" xfId="0" applyNumberFormat="1" applyFill="1" applyBorder="1"/>
    <xf numFmtId="0" fontId="0" fillId="6" borderId="22" xfId="0" applyFill="1" applyBorder="1"/>
    <xf numFmtId="0" fontId="17" fillId="5" borderId="23" xfId="0" applyFont="1" applyFill="1" applyBorder="1" applyAlignment="1">
      <alignment horizontal="center"/>
    </xf>
    <xf numFmtId="0" fontId="28" fillId="0" borderId="0" xfId="0" applyFont="1"/>
    <xf numFmtId="9" fontId="20" fillId="0" borderId="0" xfId="4" applyFont="1" applyAlignment="1">
      <alignment horizontal="right" vertical="top" wrapText="1"/>
    </xf>
    <xf numFmtId="9" fontId="21" fillId="0" borderId="0" xfId="4" applyFont="1" applyAlignment="1">
      <alignment horizontal="right" vertical="top" wrapText="1"/>
    </xf>
    <xf numFmtId="0" fontId="20" fillId="0" borderId="0" xfId="0" applyFont="1" applyAlignment="1">
      <alignment horizontal="center" vertical="top" wrapText="1"/>
    </xf>
    <xf numFmtId="9" fontId="29" fillId="0" borderId="0" xfId="4" applyFont="1" applyAlignment="1">
      <alignment horizontal="right" vertical="top" wrapText="1"/>
    </xf>
    <xf numFmtId="0" fontId="30" fillId="0" borderId="0" xfId="0" applyFont="1"/>
    <xf numFmtId="0" fontId="31" fillId="0" borderId="0" xfId="0" applyFont="1"/>
    <xf numFmtId="0" fontId="20" fillId="2" borderId="2" xfId="0" applyFont="1" applyFill="1" applyBorder="1" applyAlignment="1">
      <alignment horizontal="center" vertical="top" wrapText="1"/>
    </xf>
    <xf numFmtId="0" fontId="1" fillId="7" borderId="0" xfId="0" applyFont="1" applyFill="1"/>
    <xf numFmtId="166" fontId="21" fillId="7" borderId="1" xfId="0" applyNumberFormat="1" applyFont="1" applyFill="1" applyBorder="1" applyAlignment="1">
      <alignment horizontal="center" vertical="top" wrapText="1"/>
    </xf>
    <xf numFmtId="166" fontId="20" fillId="7" borderId="1" xfId="0" applyNumberFormat="1" applyFont="1" applyFill="1" applyBorder="1" applyAlignment="1">
      <alignment horizontal="center" vertical="top" wrapText="1"/>
    </xf>
    <xf numFmtId="0" fontId="20" fillId="3" borderId="7" xfId="0" applyFont="1" applyFill="1" applyBorder="1" applyAlignment="1">
      <alignment vertical="top" wrapText="1"/>
    </xf>
    <xf numFmtId="166" fontId="20" fillId="3" borderId="7" xfId="0" applyNumberFormat="1" applyFont="1" applyFill="1" applyBorder="1" applyAlignment="1">
      <alignment horizontal="center" vertical="top" wrapText="1"/>
    </xf>
    <xf numFmtId="0" fontId="20" fillId="0" borderId="0" xfId="0" applyFont="1" applyAlignment="1">
      <alignment vertical="top" wrapText="1"/>
    </xf>
    <xf numFmtId="0" fontId="20" fillId="0" borderId="17" xfId="0" applyFont="1" applyBorder="1" applyAlignment="1">
      <alignment vertical="top" wrapText="1"/>
    </xf>
    <xf numFmtId="166" fontId="20" fillId="0" borderId="24" xfId="0" applyNumberFormat="1" applyFont="1" applyBorder="1" applyAlignment="1">
      <alignment horizontal="center" vertical="top" wrapText="1"/>
    </xf>
    <xf numFmtId="0" fontId="20" fillId="8" borderId="0" xfId="0" applyFont="1" applyFill="1" applyAlignment="1">
      <alignment horizontal="center" vertical="top" wrapText="1"/>
    </xf>
    <xf numFmtId="0" fontId="21" fillId="8" borderId="0" xfId="0" applyFont="1" applyFill="1" applyAlignment="1">
      <alignment vertical="top" wrapText="1"/>
    </xf>
    <xf numFmtId="0" fontId="0" fillId="0" borderId="12" xfId="0" applyBorder="1"/>
    <xf numFmtId="0" fontId="0" fillId="0" borderId="14" xfId="0" applyBorder="1"/>
    <xf numFmtId="0" fontId="0" fillId="0" borderId="13" xfId="0" applyBorder="1"/>
    <xf numFmtId="9" fontId="21" fillId="7" borderId="1" xfId="4" applyFont="1" applyFill="1" applyBorder="1" applyAlignment="1">
      <alignment vertical="top" wrapText="1"/>
    </xf>
    <xf numFmtId="9" fontId="22" fillId="2" borderId="1" xfId="4" applyFont="1" applyFill="1" applyBorder="1" applyAlignment="1">
      <alignment vertical="top" wrapText="1"/>
    </xf>
    <xf numFmtId="9" fontId="22" fillId="0" borderId="1" xfId="4" applyFont="1" applyBorder="1" applyAlignment="1">
      <alignment vertical="top" wrapText="1"/>
    </xf>
    <xf numFmtId="0" fontId="1" fillId="5" borderId="0" xfId="0" applyFont="1" applyFill="1"/>
    <xf numFmtId="0" fontId="1" fillId="4" borderId="0" xfId="0" applyFont="1" applyFill="1"/>
    <xf numFmtId="0" fontId="0" fillId="8" borderId="0" xfId="0" applyFill="1"/>
    <xf numFmtId="0" fontId="32" fillId="7" borderId="1" xfId="0" applyFont="1" applyFill="1" applyBorder="1" applyAlignment="1">
      <alignment horizontal="right" vertical="top" wrapText="1"/>
    </xf>
    <xf numFmtId="0" fontId="21" fillId="7" borderId="1" xfId="0" applyFont="1" applyFill="1" applyBorder="1" applyAlignment="1">
      <alignment horizontal="right" vertical="top" wrapText="1"/>
    </xf>
    <xf numFmtId="0" fontId="33" fillId="7" borderId="1" xfId="0" applyFont="1" applyFill="1" applyBorder="1" applyAlignment="1">
      <alignment horizontal="right" vertical="top" wrapText="1"/>
    </xf>
    <xf numFmtId="0" fontId="25" fillId="7" borderId="3" xfId="0" applyFont="1" applyFill="1" applyBorder="1" applyAlignment="1">
      <alignment horizontal="center" vertical="top" wrapText="1"/>
    </xf>
    <xf numFmtId="0" fontId="25" fillId="7" borderId="1" xfId="0" applyFont="1" applyFill="1" applyBorder="1" applyAlignment="1">
      <alignment horizontal="center" vertical="top" wrapText="1"/>
    </xf>
    <xf numFmtId="166" fontId="3" fillId="7" borderId="3" xfId="0" applyNumberFormat="1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3" xfId="0" applyFont="1" applyFill="1" applyBorder="1" applyAlignment="1">
      <alignment horizontal="center" vertical="top" wrapText="1"/>
    </xf>
    <xf numFmtId="0" fontId="3" fillId="7" borderId="25" xfId="0" applyFont="1" applyFill="1" applyBorder="1" applyAlignment="1">
      <alignment horizontal="center" vertical="top" wrapText="1"/>
    </xf>
    <xf numFmtId="0" fontId="3" fillId="7" borderId="26" xfId="0" applyFont="1" applyFill="1" applyBorder="1" applyAlignment="1">
      <alignment horizontal="center" vertical="top" wrapText="1"/>
    </xf>
    <xf numFmtId="0" fontId="25" fillId="7" borderId="27" xfId="0" applyFont="1" applyFill="1" applyBorder="1" applyAlignment="1">
      <alignment horizontal="center" vertical="top" wrapText="1"/>
    </xf>
    <xf numFmtId="0" fontId="25" fillId="7" borderId="28" xfId="0" applyFont="1" applyFill="1" applyBorder="1" applyAlignment="1">
      <alignment horizontal="center" vertical="top" wrapText="1"/>
    </xf>
    <xf numFmtId="0" fontId="3" fillId="7" borderId="28" xfId="0" applyFont="1" applyFill="1" applyBorder="1" applyAlignment="1">
      <alignment horizontal="center" vertical="top" wrapText="1"/>
    </xf>
    <xf numFmtId="0" fontId="3" fillId="7" borderId="29" xfId="0" applyFont="1" applyFill="1" applyBorder="1" applyAlignment="1">
      <alignment horizontal="center" vertical="top" wrapText="1"/>
    </xf>
    <xf numFmtId="0" fontId="21" fillId="7" borderId="1" xfId="0" applyFont="1" applyFill="1" applyBorder="1" applyAlignment="1">
      <alignment horizontal="center" vertical="top" wrapText="1"/>
    </xf>
    <xf numFmtId="0" fontId="20" fillId="7" borderId="1" xfId="0" applyFont="1" applyFill="1" applyBorder="1" applyAlignment="1">
      <alignment horizontal="center" vertical="top" wrapText="1"/>
    </xf>
    <xf numFmtId="0" fontId="21" fillId="8" borderId="1" xfId="0" applyFont="1" applyFill="1" applyBorder="1" applyAlignment="1">
      <alignment horizontal="right" vertical="top" wrapText="1"/>
    </xf>
    <xf numFmtId="44" fontId="20" fillId="0" borderId="1" xfId="0" applyNumberFormat="1" applyFont="1" applyBorder="1" applyAlignment="1">
      <alignment horizontal="center" vertical="top" wrapText="1"/>
    </xf>
    <xf numFmtId="44" fontId="21" fillId="0" borderId="1" xfId="0" applyNumberFormat="1" applyFont="1" applyBorder="1" applyAlignment="1">
      <alignment horizontal="right" vertical="top" wrapText="1"/>
    </xf>
    <xf numFmtId="44" fontId="21" fillId="7" borderId="1" xfId="0" applyNumberFormat="1" applyFont="1" applyFill="1" applyBorder="1" applyAlignment="1">
      <alignment horizontal="right" vertical="top" wrapText="1"/>
    </xf>
    <xf numFmtId="44" fontId="20" fillId="2" borderId="1" xfId="0" applyNumberFormat="1" applyFont="1" applyFill="1" applyBorder="1" applyAlignment="1">
      <alignment horizontal="right" vertical="top" wrapText="1"/>
    </xf>
    <xf numFmtId="44" fontId="20" fillId="3" borderId="1" xfId="0" applyNumberFormat="1" applyFont="1" applyFill="1" applyBorder="1" applyAlignment="1">
      <alignment horizontal="right" vertical="top" wrapText="1"/>
    </xf>
    <xf numFmtId="44" fontId="20" fillId="0" borderId="1" xfId="0" applyNumberFormat="1" applyFont="1" applyBorder="1" applyAlignment="1">
      <alignment horizontal="right" vertical="top" wrapText="1"/>
    </xf>
    <xf numFmtId="44" fontId="0" fillId="0" borderId="0" xfId="0" applyNumberFormat="1"/>
    <xf numFmtId="0" fontId="3" fillId="7" borderId="18" xfId="0" applyFont="1" applyFill="1" applyBorder="1"/>
    <xf numFmtId="0" fontId="3" fillId="7" borderId="30" xfId="0" applyFont="1" applyFill="1" applyBorder="1"/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167" fontId="3" fillId="8" borderId="1" xfId="5" applyNumberFormat="1" applyFont="1" applyFill="1" applyBorder="1"/>
    <xf numFmtId="0" fontId="18" fillId="8" borderId="8" xfId="0" applyFont="1" applyFill="1" applyBorder="1"/>
    <xf numFmtId="38" fontId="9" fillId="7" borderId="1" xfId="0" applyNumberFormat="1" applyFont="1" applyFill="1" applyBorder="1" applyProtection="1">
      <protection locked="0"/>
    </xf>
    <xf numFmtId="167" fontId="4" fillId="0" borderId="1" xfId="5" applyNumberFormat="1" applyFont="1" applyBorder="1"/>
    <xf numFmtId="0" fontId="1" fillId="8" borderId="0" xfId="0" applyFont="1" applyFill="1"/>
    <xf numFmtId="0" fontId="2" fillId="8" borderId="0" xfId="0" applyFont="1" applyFill="1" applyAlignment="1">
      <alignment horizontal="center"/>
    </xf>
    <xf numFmtId="0" fontId="19" fillId="7" borderId="18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22" xfId="0" applyFont="1" applyBorder="1"/>
    <xf numFmtId="169" fontId="0" fillId="0" borderId="22" xfId="0" applyNumberFormat="1" applyBorder="1"/>
    <xf numFmtId="169" fontId="2" fillId="2" borderId="18" xfId="0" applyNumberFormat="1" applyFont="1" applyFill="1" applyBorder="1"/>
    <xf numFmtId="169" fontId="2" fillId="0" borderId="22" xfId="0" applyNumberFormat="1" applyFont="1" applyBorder="1"/>
    <xf numFmtId="0" fontId="17" fillId="0" borderId="23" xfId="0" applyFont="1" applyBorder="1" applyAlignment="1">
      <alignment horizontal="center"/>
    </xf>
    <xf numFmtId="166" fontId="21" fillId="9" borderId="1" xfId="0" applyNumberFormat="1" applyFont="1" applyFill="1" applyBorder="1" applyAlignment="1">
      <alignment horizontal="center" vertical="top" wrapText="1"/>
    </xf>
    <xf numFmtId="0" fontId="17" fillId="9" borderId="23" xfId="0" applyFont="1" applyFill="1" applyBorder="1" applyAlignment="1">
      <alignment horizontal="center"/>
    </xf>
    <xf numFmtId="10" fontId="0" fillId="9" borderId="22" xfId="0" applyNumberFormat="1" applyFill="1" applyBorder="1"/>
    <xf numFmtId="0" fontId="0" fillId="9" borderId="22" xfId="0" applyFill="1" applyBorder="1"/>
    <xf numFmtId="166" fontId="21" fillId="10" borderId="1" xfId="0" applyNumberFormat="1" applyFont="1" applyFill="1" applyBorder="1" applyAlignment="1">
      <alignment horizontal="center" vertical="top" wrapText="1"/>
    </xf>
    <xf numFmtId="0" fontId="17" fillId="10" borderId="23" xfId="0" applyFont="1" applyFill="1" applyBorder="1" applyAlignment="1">
      <alignment horizontal="center"/>
    </xf>
    <xf numFmtId="10" fontId="0" fillId="10" borderId="22" xfId="0" applyNumberFormat="1" applyFill="1" applyBorder="1"/>
    <xf numFmtId="0" fontId="0" fillId="10" borderId="22" xfId="0" applyFill="1" applyBorder="1"/>
    <xf numFmtId="0" fontId="1" fillId="9" borderId="0" xfId="0" applyFont="1" applyFill="1"/>
    <xf numFmtId="0" fontId="1" fillId="10" borderId="0" xfId="0" applyFont="1" applyFill="1"/>
    <xf numFmtId="9" fontId="21" fillId="7" borderId="1" xfId="4" applyFont="1" applyFill="1" applyBorder="1" applyAlignment="1">
      <alignment horizontal="center" vertical="top" wrapText="1"/>
    </xf>
    <xf numFmtId="9" fontId="2" fillId="0" borderId="0" xfId="0" applyNumberFormat="1" applyFont="1" applyAlignment="1">
      <alignment horizontal="center"/>
    </xf>
    <xf numFmtId="167" fontId="0" fillId="0" borderId="0" xfId="0" applyNumberFormat="1"/>
    <xf numFmtId="0" fontId="0" fillId="0" borderId="1" xfId="0" applyBorder="1"/>
    <xf numFmtId="0" fontId="0" fillId="11" borderId="1" xfId="0" applyFill="1" applyBorder="1"/>
    <xf numFmtId="0" fontId="34" fillId="0" borderId="1" xfId="0" applyFont="1" applyBorder="1"/>
    <xf numFmtId="0" fontId="1" fillId="0" borderId="1" xfId="0" applyFont="1" applyBorder="1"/>
    <xf numFmtId="0" fontId="2" fillId="11" borderId="1" xfId="0" applyFont="1" applyFill="1" applyBorder="1"/>
    <xf numFmtId="40" fontId="1" fillId="12" borderId="1" xfId="0" applyNumberFormat="1" applyFont="1" applyFill="1" applyBorder="1"/>
    <xf numFmtId="40" fontId="35" fillId="0" borderId="1" xfId="0" applyNumberFormat="1" applyFont="1" applyBorder="1"/>
    <xf numFmtId="6" fontId="0" fillId="0" borderId="1" xfId="0" applyNumberFormat="1" applyBorder="1"/>
    <xf numFmtId="6" fontId="0" fillId="11" borderId="1" xfId="0" applyNumberFormat="1" applyFill="1" applyBorder="1"/>
    <xf numFmtId="6" fontId="2" fillId="11" borderId="1" xfId="0" applyNumberFormat="1" applyFont="1" applyFill="1" applyBorder="1"/>
    <xf numFmtId="6" fontId="0" fillId="12" borderId="1" xfId="0" applyNumberFormat="1" applyFill="1" applyBorder="1"/>
    <xf numFmtId="6" fontId="35" fillId="0" borderId="1" xfId="0" applyNumberFormat="1" applyFont="1" applyBorder="1"/>
    <xf numFmtId="167" fontId="0" fillId="13" borderId="0" xfId="0" applyNumberFormat="1" applyFill="1"/>
    <xf numFmtId="0" fontId="0" fillId="13" borderId="0" xfId="0" applyFill="1"/>
    <xf numFmtId="0" fontId="20" fillId="2" borderId="1" xfId="0" applyFont="1" applyFill="1" applyBorder="1" applyAlignment="1">
      <alignment horizontal="center" vertical="top" wrapText="1"/>
    </xf>
    <xf numFmtId="0" fontId="22" fillId="0" borderId="1" xfId="0" applyFont="1" applyBorder="1" applyAlignment="1">
      <alignment vertical="top" wrapText="1"/>
    </xf>
    <xf numFmtId="0" fontId="28" fillId="0" borderId="0" xfId="0" applyFont="1" applyAlignment="1">
      <alignment horizontal="center"/>
    </xf>
    <xf numFmtId="0" fontId="25" fillId="0" borderId="1" xfId="0" applyFont="1" applyBorder="1" applyAlignment="1">
      <alignment horizontal="center" vertical="top" wrapText="1"/>
    </xf>
    <xf numFmtId="0" fontId="20" fillId="2" borderId="1" xfId="0" applyFont="1" applyFill="1" applyBorder="1" applyAlignment="1">
      <alignment vertical="top" wrapText="1"/>
    </xf>
    <xf numFmtId="0" fontId="6" fillId="2" borderId="31" xfId="0" applyFont="1" applyFill="1" applyBorder="1" applyAlignment="1">
      <alignment horizontal="center"/>
    </xf>
    <xf numFmtId="0" fontId="6" fillId="2" borderId="32" xfId="0" applyFont="1" applyFill="1" applyBorder="1" applyAlignment="1">
      <alignment horizontal="center"/>
    </xf>
    <xf numFmtId="0" fontId="25" fillId="2" borderId="33" xfId="0" applyFont="1" applyFill="1" applyBorder="1" applyAlignment="1">
      <alignment horizontal="center" vertical="top" wrapText="1"/>
    </xf>
    <xf numFmtId="0" fontId="25" fillId="2" borderId="34" xfId="0" applyFont="1" applyFill="1" applyBorder="1" applyAlignment="1">
      <alignment horizontal="center" vertical="top" wrapText="1"/>
    </xf>
    <xf numFmtId="0" fontId="25" fillId="2" borderId="35" xfId="0" applyFont="1" applyFill="1" applyBorder="1" applyAlignment="1">
      <alignment horizontal="center" vertical="top" wrapText="1"/>
    </xf>
    <xf numFmtId="0" fontId="25" fillId="2" borderId="36" xfId="0" applyFont="1" applyFill="1" applyBorder="1" applyAlignment="1">
      <alignment horizontal="center" vertical="top" wrapText="1"/>
    </xf>
    <xf numFmtId="0" fontId="25" fillId="2" borderId="37" xfId="0" applyFont="1" applyFill="1" applyBorder="1" applyAlignment="1">
      <alignment horizontal="center" vertical="top" wrapText="1"/>
    </xf>
    <xf numFmtId="0" fontId="6" fillId="0" borderId="17" xfId="1" applyFont="1" applyBorder="1" applyAlignment="1" applyProtection="1">
      <alignment horizontal="center"/>
    </xf>
    <xf numFmtId="0" fontId="6" fillId="0" borderId="24" xfId="1" applyFont="1" applyBorder="1" applyAlignment="1" applyProtection="1">
      <alignment horizontal="center"/>
    </xf>
    <xf numFmtId="0" fontId="6" fillId="0" borderId="16" xfId="1" applyFont="1" applyBorder="1" applyAlignment="1" applyProtection="1">
      <alignment horizontal="center"/>
    </xf>
    <xf numFmtId="0" fontId="20" fillId="0" borderId="1" xfId="0" applyFont="1" applyBorder="1" applyAlignment="1">
      <alignment horizontal="center" vertical="top" wrapText="1"/>
    </xf>
    <xf numFmtId="0" fontId="21" fillId="0" borderId="1" xfId="0" applyFont="1" applyBorder="1" applyAlignment="1">
      <alignment horizontal="center" vertical="top" wrapText="1"/>
    </xf>
    <xf numFmtId="0" fontId="20" fillId="7" borderId="1" xfId="0" applyFont="1" applyFill="1" applyBorder="1" applyAlignment="1">
      <alignment horizontal="center" vertical="top" wrapText="1"/>
    </xf>
    <xf numFmtId="167" fontId="36" fillId="0" borderId="8" xfId="0" applyNumberFormat="1" applyFont="1" applyBorder="1" applyAlignment="1">
      <alignment horizontal="center"/>
    </xf>
    <xf numFmtId="167" fontId="36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16" xfId="0" applyFont="1" applyBorder="1" applyAlignment="1">
      <alignment horizontal="center"/>
    </xf>
  </cellXfs>
  <cellStyles count="6">
    <cellStyle name="Collegamento ipertestuale 2" xfId="1" xr:uid="{00000000-0005-0000-0000-000000000000}"/>
    <cellStyle name="Migliaia" xfId="2" builtinId="3"/>
    <cellStyle name="Migliaia [0]" xfId="3" builtinId="6"/>
    <cellStyle name="Normale" xfId="0" builtinId="0"/>
    <cellStyle name="Percentuale" xfId="4" builtinId="5"/>
    <cellStyle name="Valuta" xfId="5" builtin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3"/>
      <c:hPercent val="500"/>
      <c:rotY val="44"/>
      <c:depthPercent val="200"/>
      <c:rAngAx val="1"/>
    </c:view3D>
    <c:floor>
      <c:thickness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rgbClr val="69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864-444C-9439-C2E8D3A18467}"/>
              </c:ext>
            </c:extLst>
          </c:dPt>
          <c:cat>
            <c:numRef>
              <c:f>finale!$C$79:$C$80</c:f>
              <c:numCache>
                <c:formatCode>0.00%</c:formatCode>
                <c:ptCount val="2"/>
                <c:pt idx="0">
                  <c:v>0.19999999999999998</c:v>
                </c:pt>
                <c:pt idx="1">
                  <c:v>1.0670731707317074E-2</c:v>
                </c:pt>
              </c:numCache>
            </c:numRef>
          </c:cat>
          <c:val>
            <c:numRef>
              <c:f>finale!$D$79:$D$80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64-444C-9439-C2E8D3A18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7717352"/>
        <c:axId val="197713824"/>
        <c:axId val="0"/>
      </c:bar3DChart>
      <c:catAx>
        <c:axId val="1977173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97713824"/>
        <c:crosses val="autoZero"/>
        <c:auto val="0"/>
        <c:lblAlgn val="ctr"/>
        <c:lblOffset val="100"/>
        <c:tickLblSkip val="44"/>
        <c:tickMarkSkip val="1"/>
        <c:noMultiLvlLbl val="0"/>
      </c:catAx>
      <c:valAx>
        <c:axId val="197713824"/>
        <c:scaling>
          <c:orientation val="minMax"/>
          <c:max val="12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97717352"/>
        <c:crosses val="autoZero"/>
        <c:crossBetween val="between"/>
        <c:majorUnit val="1"/>
        <c:minorUnit val="0.9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>
      <c:oddHeader>&amp;A</c:oddHeader>
      <c:oddFooter>Pagina &amp;P</c:oddFooter>
    </c:headerFooter>
    <c:pageMargins b="1" l="0.75" r="0.75" t="1" header="0.5" footer="0.5"/>
    <c:pageSetup paperSize="9" orientation="landscape" horizontalDpi="-4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73</xdr:row>
      <xdr:rowOff>9525</xdr:rowOff>
    </xdr:from>
    <xdr:to>
      <xdr:col>3</xdr:col>
      <xdr:colOff>590550</xdr:colOff>
      <xdr:row>74</xdr:row>
      <xdr:rowOff>0</xdr:rowOff>
    </xdr:to>
    <xdr:sp macro="" textlink="">
      <xdr:nvSpPr>
        <xdr:cNvPr id="148788" name="Rectangle 3">
          <a:extLst>
            <a:ext uri="{FF2B5EF4-FFF2-40B4-BE49-F238E27FC236}">
              <a16:creationId xmlns:a16="http://schemas.microsoft.com/office/drawing/2014/main" id="{00000000-0008-0000-0700-000034450200}"/>
            </a:ext>
          </a:extLst>
        </xdr:cNvPr>
        <xdr:cNvSpPr>
          <a:spLocks noChangeArrowheads="1"/>
        </xdr:cNvSpPr>
      </xdr:nvSpPr>
      <xdr:spPr bwMode="auto">
        <a:xfrm>
          <a:off x="4791075" y="14773275"/>
          <a:ext cx="561975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38100</xdr:colOff>
      <xdr:row>75</xdr:row>
      <xdr:rowOff>0</xdr:rowOff>
    </xdr:from>
    <xdr:to>
      <xdr:col>5</xdr:col>
      <xdr:colOff>647700</xdr:colOff>
      <xdr:row>75</xdr:row>
      <xdr:rowOff>0</xdr:rowOff>
    </xdr:to>
    <xdr:graphicFrame macro="">
      <xdr:nvGraphicFramePr>
        <xdr:cNvPr id="148789" name="Chart 9">
          <a:extLst>
            <a:ext uri="{FF2B5EF4-FFF2-40B4-BE49-F238E27FC236}">
              <a16:creationId xmlns:a16="http://schemas.microsoft.com/office/drawing/2014/main" id="{00000000-0008-0000-0700-00003545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73</xdr:row>
      <xdr:rowOff>9525</xdr:rowOff>
    </xdr:from>
    <xdr:to>
      <xdr:col>5</xdr:col>
      <xdr:colOff>590550</xdr:colOff>
      <xdr:row>74</xdr:row>
      <xdr:rowOff>0</xdr:rowOff>
    </xdr:to>
    <xdr:sp macro="" textlink="">
      <xdr:nvSpPr>
        <xdr:cNvPr id="148790" name="Rectangle 10">
          <a:extLst>
            <a:ext uri="{FF2B5EF4-FFF2-40B4-BE49-F238E27FC236}">
              <a16:creationId xmlns:a16="http://schemas.microsoft.com/office/drawing/2014/main" id="{00000000-0008-0000-0700-000036450200}"/>
            </a:ext>
          </a:extLst>
        </xdr:cNvPr>
        <xdr:cNvSpPr>
          <a:spLocks noChangeArrowheads="1"/>
        </xdr:cNvSpPr>
      </xdr:nvSpPr>
      <xdr:spPr bwMode="auto">
        <a:xfrm>
          <a:off x="6076950" y="14773275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28575</xdr:colOff>
      <xdr:row>73</xdr:row>
      <xdr:rowOff>9525</xdr:rowOff>
    </xdr:from>
    <xdr:to>
      <xdr:col>7</xdr:col>
      <xdr:colOff>590550</xdr:colOff>
      <xdr:row>74</xdr:row>
      <xdr:rowOff>0</xdr:rowOff>
    </xdr:to>
    <xdr:sp macro="" textlink="">
      <xdr:nvSpPr>
        <xdr:cNvPr id="148791" name="Rectangle 11">
          <a:extLst>
            <a:ext uri="{FF2B5EF4-FFF2-40B4-BE49-F238E27FC236}">
              <a16:creationId xmlns:a16="http://schemas.microsoft.com/office/drawing/2014/main" id="{00000000-0008-0000-0700-000037450200}"/>
            </a:ext>
          </a:extLst>
        </xdr:cNvPr>
        <xdr:cNvSpPr>
          <a:spLocks noChangeArrowheads="1"/>
        </xdr:cNvSpPr>
      </xdr:nvSpPr>
      <xdr:spPr bwMode="auto">
        <a:xfrm>
          <a:off x="7286625" y="14773275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73</xdr:row>
      <xdr:rowOff>9525</xdr:rowOff>
    </xdr:from>
    <xdr:to>
      <xdr:col>8</xdr:col>
      <xdr:colOff>0</xdr:colOff>
      <xdr:row>74</xdr:row>
      <xdr:rowOff>0</xdr:rowOff>
    </xdr:to>
    <xdr:sp macro="" textlink="">
      <xdr:nvSpPr>
        <xdr:cNvPr id="148792" name="Rectangle 12">
          <a:extLst>
            <a:ext uri="{FF2B5EF4-FFF2-40B4-BE49-F238E27FC236}">
              <a16:creationId xmlns:a16="http://schemas.microsoft.com/office/drawing/2014/main" id="{00000000-0008-0000-0700-000038450200}"/>
            </a:ext>
          </a:extLst>
        </xdr:cNvPr>
        <xdr:cNvSpPr>
          <a:spLocks noChangeArrowheads="1"/>
        </xdr:cNvSpPr>
      </xdr:nvSpPr>
      <xdr:spPr bwMode="auto">
        <a:xfrm>
          <a:off x="7820025" y="14773275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73</xdr:row>
      <xdr:rowOff>9525</xdr:rowOff>
    </xdr:from>
    <xdr:to>
      <xdr:col>8</xdr:col>
      <xdr:colOff>0</xdr:colOff>
      <xdr:row>74</xdr:row>
      <xdr:rowOff>0</xdr:rowOff>
    </xdr:to>
    <xdr:sp macro="" textlink="">
      <xdr:nvSpPr>
        <xdr:cNvPr id="148793" name="Rectangle 13">
          <a:extLst>
            <a:ext uri="{FF2B5EF4-FFF2-40B4-BE49-F238E27FC236}">
              <a16:creationId xmlns:a16="http://schemas.microsoft.com/office/drawing/2014/main" id="{00000000-0008-0000-0700-000039450200}"/>
            </a:ext>
          </a:extLst>
        </xdr:cNvPr>
        <xdr:cNvSpPr>
          <a:spLocks noChangeArrowheads="1"/>
        </xdr:cNvSpPr>
      </xdr:nvSpPr>
      <xdr:spPr bwMode="auto">
        <a:xfrm>
          <a:off x="7820025" y="14773275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73</xdr:row>
      <xdr:rowOff>9525</xdr:rowOff>
    </xdr:from>
    <xdr:to>
      <xdr:col>8</xdr:col>
      <xdr:colOff>0</xdr:colOff>
      <xdr:row>74</xdr:row>
      <xdr:rowOff>0</xdr:rowOff>
    </xdr:to>
    <xdr:sp macro="" textlink="">
      <xdr:nvSpPr>
        <xdr:cNvPr id="148794" name="Rectangle 14">
          <a:extLst>
            <a:ext uri="{FF2B5EF4-FFF2-40B4-BE49-F238E27FC236}">
              <a16:creationId xmlns:a16="http://schemas.microsoft.com/office/drawing/2014/main" id="{00000000-0008-0000-0700-00003A450200}"/>
            </a:ext>
          </a:extLst>
        </xdr:cNvPr>
        <xdr:cNvSpPr>
          <a:spLocks noChangeArrowheads="1"/>
        </xdr:cNvSpPr>
      </xdr:nvSpPr>
      <xdr:spPr bwMode="auto">
        <a:xfrm>
          <a:off x="7820025" y="14773275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82</xdr:row>
      <xdr:rowOff>9525</xdr:rowOff>
    </xdr:from>
    <xdr:to>
      <xdr:col>3</xdr:col>
      <xdr:colOff>590550</xdr:colOff>
      <xdr:row>83</xdr:row>
      <xdr:rowOff>0</xdr:rowOff>
    </xdr:to>
    <xdr:sp macro="" textlink="">
      <xdr:nvSpPr>
        <xdr:cNvPr id="148795" name="Rectangle 16">
          <a:extLst>
            <a:ext uri="{FF2B5EF4-FFF2-40B4-BE49-F238E27FC236}">
              <a16:creationId xmlns:a16="http://schemas.microsoft.com/office/drawing/2014/main" id="{00000000-0008-0000-0700-00003B450200}"/>
            </a:ext>
          </a:extLst>
        </xdr:cNvPr>
        <xdr:cNvSpPr>
          <a:spLocks noChangeArrowheads="1"/>
        </xdr:cNvSpPr>
      </xdr:nvSpPr>
      <xdr:spPr bwMode="auto">
        <a:xfrm>
          <a:off x="4791075" y="16573500"/>
          <a:ext cx="561975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28575</xdr:colOff>
      <xdr:row>82</xdr:row>
      <xdr:rowOff>9525</xdr:rowOff>
    </xdr:from>
    <xdr:to>
      <xdr:col>5</xdr:col>
      <xdr:colOff>590550</xdr:colOff>
      <xdr:row>83</xdr:row>
      <xdr:rowOff>0</xdr:rowOff>
    </xdr:to>
    <xdr:sp macro="" textlink="">
      <xdr:nvSpPr>
        <xdr:cNvPr id="148796" name="Rectangle 17">
          <a:extLst>
            <a:ext uri="{FF2B5EF4-FFF2-40B4-BE49-F238E27FC236}">
              <a16:creationId xmlns:a16="http://schemas.microsoft.com/office/drawing/2014/main" id="{00000000-0008-0000-0700-00003C450200}"/>
            </a:ext>
          </a:extLst>
        </xdr:cNvPr>
        <xdr:cNvSpPr>
          <a:spLocks noChangeArrowheads="1"/>
        </xdr:cNvSpPr>
      </xdr:nvSpPr>
      <xdr:spPr bwMode="auto">
        <a:xfrm>
          <a:off x="6076950" y="16573500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28575</xdr:colOff>
      <xdr:row>82</xdr:row>
      <xdr:rowOff>9525</xdr:rowOff>
    </xdr:from>
    <xdr:to>
      <xdr:col>7</xdr:col>
      <xdr:colOff>590550</xdr:colOff>
      <xdr:row>83</xdr:row>
      <xdr:rowOff>0</xdr:rowOff>
    </xdr:to>
    <xdr:sp macro="" textlink="">
      <xdr:nvSpPr>
        <xdr:cNvPr id="148797" name="Rectangle 18">
          <a:extLst>
            <a:ext uri="{FF2B5EF4-FFF2-40B4-BE49-F238E27FC236}">
              <a16:creationId xmlns:a16="http://schemas.microsoft.com/office/drawing/2014/main" id="{00000000-0008-0000-0700-00003D450200}"/>
            </a:ext>
          </a:extLst>
        </xdr:cNvPr>
        <xdr:cNvSpPr>
          <a:spLocks noChangeArrowheads="1"/>
        </xdr:cNvSpPr>
      </xdr:nvSpPr>
      <xdr:spPr bwMode="auto">
        <a:xfrm>
          <a:off x="7286625" y="16573500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82</xdr:row>
      <xdr:rowOff>9525</xdr:rowOff>
    </xdr:from>
    <xdr:to>
      <xdr:col>8</xdr:col>
      <xdr:colOff>0</xdr:colOff>
      <xdr:row>83</xdr:row>
      <xdr:rowOff>0</xdr:rowOff>
    </xdr:to>
    <xdr:sp macro="" textlink="">
      <xdr:nvSpPr>
        <xdr:cNvPr id="148798" name="Rectangle 19">
          <a:extLst>
            <a:ext uri="{FF2B5EF4-FFF2-40B4-BE49-F238E27FC236}">
              <a16:creationId xmlns:a16="http://schemas.microsoft.com/office/drawing/2014/main" id="{00000000-0008-0000-0700-00003E450200}"/>
            </a:ext>
          </a:extLst>
        </xdr:cNvPr>
        <xdr:cNvSpPr>
          <a:spLocks noChangeArrowheads="1"/>
        </xdr:cNvSpPr>
      </xdr:nvSpPr>
      <xdr:spPr bwMode="auto">
        <a:xfrm>
          <a:off x="7820025" y="16573500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82</xdr:row>
      <xdr:rowOff>9525</xdr:rowOff>
    </xdr:from>
    <xdr:to>
      <xdr:col>8</xdr:col>
      <xdr:colOff>0</xdr:colOff>
      <xdr:row>83</xdr:row>
      <xdr:rowOff>0</xdr:rowOff>
    </xdr:to>
    <xdr:sp macro="" textlink="">
      <xdr:nvSpPr>
        <xdr:cNvPr id="148799" name="Rectangle 20">
          <a:extLst>
            <a:ext uri="{FF2B5EF4-FFF2-40B4-BE49-F238E27FC236}">
              <a16:creationId xmlns:a16="http://schemas.microsoft.com/office/drawing/2014/main" id="{00000000-0008-0000-0700-00003F450200}"/>
            </a:ext>
          </a:extLst>
        </xdr:cNvPr>
        <xdr:cNvSpPr>
          <a:spLocks noChangeArrowheads="1"/>
        </xdr:cNvSpPr>
      </xdr:nvSpPr>
      <xdr:spPr bwMode="auto">
        <a:xfrm>
          <a:off x="7820025" y="16573500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82</xdr:row>
      <xdr:rowOff>9525</xdr:rowOff>
    </xdr:from>
    <xdr:to>
      <xdr:col>8</xdr:col>
      <xdr:colOff>0</xdr:colOff>
      <xdr:row>83</xdr:row>
      <xdr:rowOff>0</xdr:rowOff>
    </xdr:to>
    <xdr:sp macro="" textlink="">
      <xdr:nvSpPr>
        <xdr:cNvPr id="148800" name="Rectangle 21">
          <a:extLst>
            <a:ext uri="{FF2B5EF4-FFF2-40B4-BE49-F238E27FC236}">
              <a16:creationId xmlns:a16="http://schemas.microsoft.com/office/drawing/2014/main" id="{00000000-0008-0000-0700-000040450200}"/>
            </a:ext>
          </a:extLst>
        </xdr:cNvPr>
        <xdr:cNvSpPr>
          <a:spLocks noChangeArrowheads="1"/>
        </xdr:cNvSpPr>
      </xdr:nvSpPr>
      <xdr:spPr bwMode="auto">
        <a:xfrm>
          <a:off x="7820025" y="16573500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28575</xdr:colOff>
      <xdr:row>73</xdr:row>
      <xdr:rowOff>9525</xdr:rowOff>
    </xdr:from>
    <xdr:to>
      <xdr:col>8</xdr:col>
      <xdr:colOff>590550</xdr:colOff>
      <xdr:row>74</xdr:row>
      <xdr:rowOff>0</xdr:rowOff>
    </xdr:to>
    <xdr:sp macro="" textlink="">
      <xdr:nvSpPr>
        <xdr:cNvPr id="148801" name="Rectangle 27">
          <a:extLst>
            <a:ext uri="{FF2B5EF4-FFF2-40B4-BE49-F238E27FC236}">
              <a16:creationId xmlns:a16="http://schemas.microsoft.com/office/drawing/2014/main" id="{00000000-0008-0000-0700-000041450200}"/>
            </a:ext>
          </a:extLst>
        </xdr:cNvPr>
        <xdr:cNvSpPr>
          <a:spLocks noChangeArrowheads="1"/>
        </xdr:cNvSpPr>
      </xdr:nvSpPr>
      <xdr:spPr bwMode="auto">
        <a:xfrm>
          <a:off x="7848600" y="14773275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28575</xdr:colOff>
      <xdr:row>82</xdr:row>
      <xdr:rowOff>9525</xdr:rowOff>
    </xdr:from>
    <xdr:to>
      <xdr:col>8</xdr:col>
      <xdr:colOff>590550</xdr:colOff>
      <xdr:row>83</xdr:row>
      <xdr:rowOff>0</xdr:rowOff>
    </xdr:to>
    <xdr:sp macro="" textlink="">
      <xdr:nvSpPr>
        <xdr:cNvPr id="148802" name="Rectangle 28">
          <a:extLst>
            <a:ext uri="{FF2B5EF4-FFF2-40B4-BE49-F238E27FC236}">
              <a16:creationId xmlns:a16="http://schemas.microsoft.com/office/drawing/2014/main" id="{00000000-0008-0000-0700-000042450200}"/>
            </a:ext>
          </a:extLst>
        </xdr:cNvPr>
        <xdr:cNvSpPr>
          <a:spLocks noChangeArrowheads="1"/>
        </xdr:cNvSpPr>
      </xdr:nvSpPr>
      <xdr:spPr bwMode="auto">
        <a:xfrm>
          <a:off x="7848600" y="16573500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3"/>
  <sheetViews>
    <sheetView workbookViewId="0">
      <selection activeCell="B4" sqref="B4"/>
    </sheetView>
  </sheetViews>
  <sheetFormatPr defaultRowHeight="12.75" x14ac:dyDescent="0.2"/>
  <cols>
    <col min="1" max="1" width="41.140625" customWidth="1"/>
    <col min="2" max="2" width="15.85546875" customWidth="1"/>
    <col min="3" max="3" width="13.85546875" customWidth="1"/>
    <col min="4" max="4" width="18.28515625" customWidth="1"/>
    <col min="5" max="5" width="14.140625" bestFit="1" customWidth="1"/>
    <col min="6" max="6" width="29.42578125" bestFit="1" customWidth="1"/>
  </cols>
  <sheetData>
    <row r="1" spans="1:6" x14ac:dyDescent="0.2">
      <c r="A1" s="19" t="s">
        <v>141</v>
      </c>
      <c r="B1" s="232" t="s">
        <v>89</v>
      </c>
      <c r="C1" s="232"/>
      <c r="D1" s="232"/>
      <c r="E1" s="19"/>
    </row>
    <row r="2" spans="1:6" x14ac:dyDescent="0.2">
      <c r="A2" s="17" t="s">
        <v>85</v>
      </c>
      <c r="B2" s="19" t="s">
        <v>88</v>
      </c>
      <c r="C2" s="19" t="s">
        <v>87</v>
      </c>
      <c r="D2" s="19" t="s">
        <v>86</v>
      </c>
      <c r="E2" s="144" t="s">
        <v>226</v>
      </c>
      <c r="F2" s="145" t="s">
        <v>227</v>
      </c>
    </row>
    <row r="3" spans="1:6" x14ac:dyDescent="0.2">
      <c r="A3" s="3" t="s">
        <v>142</v>
      </c>
      <c r="B3" s="146">
        <v>0</v>
      </c>
      <c r="C3" s="146"/>
      <c r="D3" s="146"/>
      <c r="E3" s="158"/>
    </row>
    <row r="4" spans="1:6" x14ac:dyDescent="0.2">
      <c r="A4" s="3" t="s">
        <v>118</v>
      </c>
      <c r="B4" s="146">
        <v>0</v>
      </c>
      <c r="C4" s="146"/>
      <c r="D4" s="146"/>
      <c r="E4" s="158"/>
    </row>
    <row r="5" spans="1:6" x14ac:dyDescent="0.2">
      <c r="A5" s="3" t="s">
        <v>84</v>
      </c>
      <c r="B5" s="146"/>
      <c r="C5" s="146"/>
      <c r="D5" s="146"/>
      <c r="E5" s="158"/>
    </row>
    <row r="6" spans="1:6" x14ac:dyDescent="0.2">
      <c r="A6" s="3" t="s">
        <v>83</v>
      </c>
      <c r="B6" s="146"/>
      <c r="C6" s="146"/>
      <c r="D6" s="146"/>
      <c r="E6" s="158"/>
    </row>
    <row r="7" spans="1:6" x14ac:dyDescent="0.2">
      <c r="A7" s="3" t="s">
        <v>82</v>
      </c>
      <c r="B7" s="146"/>
      <c r="C7" s="146"/>
      <c r="D7" s="146"/>
      <c r="E7" s="158"/>
    </row>
    <row r="8" spans="1:6" x14ac:dyDescent="0.2">
      <c r="A8" s="3" t="s">
        <v>81</v>
      </c>
      <c r="B8" s="146"/>
      <c r="C8" s="146"/>
      <c r="D8" s="146"/>
      <c r="E8" s="158"/>
    </row>
    <row r="9" spans="1:6" x14ac:dyDescent="0.2">
      <c r="A9" s="3" t="s">
        <v>80</v>
      </c>
      <c r="B9" s="146"/>
      <c r="C9" s="146"/>
      <c r="D9" s="146"/>
      <c r="E9" s="158"/>
    </row>
    <row r="10" spans="1:6" x14ac:dyDescent="0.2">
      <c r="A10" s="3" t="s">
        <v>79</v>
      </c>
      <c r="B10" s="146"/>
      <c r="C10" s="146"/>
      <c r="D10" s="146"/>
      <c r="E10" s="158"/>
    </row>
    <row r="11" spans="1:6" x14ac:dyDescent="0.2">
      <c r="A11" s="3" t="s">
        <v>78</v>
      </c>
      <c r="B11" s="146">
        <v>10000</v>
      </c>
      <c r="C11" s="146"/>
      <c r="D11" s="146"/>
      <c r="E11" s="158"/>
    </row>
    <row r="12" spans="1:6" x14ac:dyDescent="0.2">
      <c r="A12" s="3" t="s">
        <v>77</v>
      </c>
      <c r="B12" s="146">
        <v>2000</v>
      </c>
      <c r="C12" s="146"/>
      <c r="D12" s="146"/>
      <c r="E12" s="158"/>
    </row>
    <row r="13" spans="1:6" x14ac:dyDescent="0.2">
      <c r="A13" s="17" t="s">
        <v>76</v>
      </c>
      <c r="B13" s="18">
        <f>SUM(B3:B12)</f>
        <v>12000</v>
      </c>
      <c r="C13" s="18">
        <f>SUM(C3:C12)</f>
        <v>0</v>
      </c>
      <c r="D13" s="18">
        <f>SUM(D3:D12)</f>
        <v>0</v>
      </c>
      <c r="E13" s="159"/>
    </row>
    <row r="14" spans="1:6" x14ac:dyDescent="0.2">
      <c r="A14" s="7"/>
      <c r="B14" s="8"/>
      <c r="C14" s="9"/>
      <c r="D14" s="9"/>
      <c r="E14" s="160"/>
    </row>
    <row r="15" spans="1:6" x14ac:dyDescent="0.2">
      <c r="A15" s="17" t="s">
        <v>75</v>
      </c>
      <c r="B15" s="19" t="s">
        <v>88</v>
      </c>
      <c r="C15" s="19" t="s">
        <v>87</v>
      </c>
      <c r="D15" s="19" t="s">
        <v>86</v>
      </c>
      <c r="E15" s="159"/>
    </row>
    <row r="16" spans="1:6" x14ac:dyDescent="0.2">
      <c r="A16" s="3" t="s">
        <v>74</v>
      </c>
      <c r="B16" s="146"/>
      <c r="C16" s="146"/>
      <c r="D16" s="146"/>
      <c r="E16" s="158"/>
    </row>
    <row r="17" spans="1:5" x14ac:dyDescent="0.2">
      <c r="A17" s="3" t="s">
        <v>73</v>
      </c>
      <c r="B17" s="146"/>
      <c r="C17" s="146"/>
      <c r="D17" s="146"/>
      <c r="E17" s="158"/>
    </row>
    <row r="18" spans="1:5" x14ac:dyDescent="0.2">
      <c r="A18" s="3" t="s">
        <v>72</v>
      </c>
      <c r="B18" s="146"/>
      <c r="C18" s="146"/>
      <c r="D18" s="146"/>
      <c r="E18" s="158">
        <v>0.22</v>
      </c>
    </row>
    <row r="19" spans="1:5" x14ac:dyDescent="0.2">
      <c r="A19" s="3" t="s">
        <v>71</v>
      </c>
      <c r="B19" s="146"/>
      <c r="C19" s="146"/>
      <c r="D19" s="146"/>
      <c r="E19" s="158"/>
    </row>
    <row r="20" spans="1:5" x14ac:dyDescent="0.2">
      <c r="A20" s="3" t="s">
        <v>70</v>
      </c>
      <c r="B20" s="146"/>
      <c r="C20" s="146"/>
      <c r="D20" s="146"/>
      <c r="E20" s="158"/>
    </row>
    <row r="21" spans="1:5" x14ac:dyDescent="0.2">
      <c r="A21" s="3" t="s">
        <v>69</v>
      </c>
      <c r="B21" s="146"/>
      <c r="C21" s="146"/>
      <c r="D21" s="146"/>
      <c r="E21" s="158"/>
    </row>
    <row r="22" spans="1:5" x14ac:dyDescent="0.2">
      <c r="A22" s="3" t="s">
        <v>77</v>
      </c>
      <c r="B22" s="146"/>
      <c r="C22" s="146"/>
      <c r="D22" s="146"/>
      <c r="E22" s="158"/>
    </row>
    <row r="23" spans="1:5" x14ac:dyDescent="0.2">
      <c r="A23" s="17" t="s">
        <v>68</v>
      </c>
      <c r="B23" s="21">
        <f>SUM(B16:B22)</f>
        <v>0</v>
      </c>
      <c r="C23" s="21">
        <f>SUM(C16:C22)</f>
        <v>0</v>
      </c>
      <c r="D23" s="21">
        <f>SUM(D16:D22)</f>
        <v>0</v>
      </c>
      <c r="E23" s="17"/>
    </row>
    <row r="24" spans="1:5" x14ac:dyDescent="0.2">
      <c r="A24" s="148" t="s">
        <v>67</v>
      </c>
      <c r="B24" s="149">
        <f>SUM(B13+B23)</f>
        <v>12000</v>
      </c>
      <c r="C24" s="149">
        <f>SUM(C13+C23)</f>
        <v>0</v>
      </c>
      <c r="D24" s="149">
        <f>SUM(D13+D23)</f>
        <v>0</v>
      </c>
      <c r="E24" s="23"/>
    </row>
    <row r="25" spans="1:5" x14ac:dyDescent="0.2">
      <c r="A25" s="151"/>
      <c r="B25" s="152"/>
      <c r="C25" s="152"/>
      <c r="D25" s="152"/>
      <c r="E25" s="150"/>
    </row>
    <row r="26" spans="1:5" x14ac:dyDescent="0.2">
      <c r="A26" s="19" t="s">
        <v>140</v>
      </c>
      <c r="B26" s="19" t="s">
        <v>88</v>
      </c>
      <c r="C26" s="19" t="s">
        <v>87</v>
      </c>
      <c r="D26" s="19" t="s">
        <v>86</v>
      </c>
      <c r="E26" s="153"/>
    </row>
    <row r="27" spans="1:5" x14ac:dyDescent="0.2">
      <c r="A27" s="3" t="s">
        <v>139</v>
      </c>
      <c r="B27" s="146"/>
      <c r="C27" s="147"/>
      <c r="D27" s="147"/>
      <c r="E27" s="154"/>
    </row>
    <row r="28" spans="1:5" x14ac:dyDescent="0.2">
      <c r="A28" s="3" t="s">
        <v>135</v>
      </c>
      <c r="B28" s="146"/>
      <c r="C28" s="147"/>
      <c r="D28" s="147"/>
    </row>
    <row r="29" spans="1:5" x14ac:dyDescent="0.2">
      <c r="A29" s="3" t="s">
        <v>143</v>
      </c>
      <c r="B29" s="9">
        <f>+B3*$E$3+B4*$E$4+B5*$E$5+B6*$E$6+B7*$E$7+B8*$E$8+B9*$E$9+B10*$E$10+B11*$E$11+B12*$E$12+B16*$E$16+B17*$E$17+B18*$E$18+B19*$E$19+B20*$E$20+B21*$E$21+B22*$E$22</f>
        <v>0</v>
      </c>
      <c r="C29" s="9">
        <f>(C3-B3)*$E$3+(C4-B4)*$E$4+(C5-B5)*$E$5+(C6-B6)*$E$6+(C7-B7)*$E$7+(C8-B8)*$E$8+(C9-B9)*$E$9+(C10-B10)*$E$10+(C11-B11)*$E$11+(C12-B12)*$E$12+(C16-B16)*$E$16+(C17-B17)*$E$17+(C18-B18)*$E$18+(C19-B19)*$E$19+(C20-B20)*$E$20+(C21-B21)*$E$21+(C22-B22)*$E$22</f>
        <v>0</v>
      </c>
      <c r="D29" s="9">
        <f>(D3-C3)*$E$3+(D4-C4)*$E$4+(D5-C5)*$E$5+(D6-C6)*$E$6+(D7-C7)*$E$7+(D8-C8)*$E$8+(D9-C9)*$E$9+(D10-C10)*$E$10+(D11-C11)*$E$11+(D12-C12)*$E$12+(D16-C16)*$E$16+(D17-C17)*$E$17+(D18-C18)*$E$18+(D19-C19)*$E$19+(D20-C20)*$E$20+(D21-C21)*$E$21+(D22-C22)*$E$22</f>
        <v>0</v>
      </c>
    </row>
    <row r="30" spans="1:5" x14ac:dyDescent="0.2">
      <c r="A30" s="10" t="s">
        <v>136</v>
      </c>
      <c r="B30" s="146"/>
      <c r="C30" s="147"/>
      <c r="D30" s="147"/>
    </row>
    <row r="31" spans="1:5" x14ac:dyDescent="0.2">
      <c r="A31" s="22" t="s">
        <v>137</v>
      </c>
      <c r="B31" s="18">
        <f>SUM(B27:B30)</f>
        <v>0</v>
      </c>
      <c r="C31" s="18">
        <f>SUM(C27:C30)</f>
        <v>0</v>
      </c>
      <c r="D31" s="18">
        <f>SUM(D27:D30)</f>
        <v>0</v>
      </c>
    </row>
    <row r="32" spans="1:5" x14ac:dyDescent="0.2">
      <c r="A32" s="155"/>
      <c r="B32" s="156"/>
      <c r="C32" s="156"/>
      <c r="D32" s="157"/>
    </row>
    <row r="33" spans="1:4" x14ac:dyDescent="0.2">
      <c r="A33" s="23" t="s">
        <v>138</v>
      </c>
      <c r="B33" s="24">
        <f>SUM(B31+B24)</f>
        <v>12000</v>
      </c>
      <c r="C33" s="24">
        <f>SUM(C31+C24)</f>
        <v>0</v>
      </c>
      <c r="D33" s="24">
        <f>SUM(D31+D24)</f>
        <v>0</v>
      </c>
    </row>
  </sheetData>
  <mergeCells count="1">
    <mergeCell ref="B1:D1"/>
  </mergeCells>
  <phoneticPr fontId="0" type="noConversion"/>
  <hyperlinks>
    <hyperlink ref="A32" location="_ftnref1" display="_ftnref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&amp;CPIANO INVESTIMENTI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62"/>
  <sheetViews>
    <sheetView topLeftCell="A20" workbookViewId="0">
      <selection activeCell="B30" sqref="B30"/>
    </sheetView>
  </sheetViews>
  <sheetFormatPr defaultRowHeight="12.75" x14ac:dyDescent="0.2"/>
  <cols>
    <col min="1" max="1" width="39.42578125" customWidth="1"/>
    <col min="2" max="2" width="19.140625" bestFit="1" customWidth="1"/>
    <col min="3" max="3" width="30" bestFit="1" customWidth="1"/>
    <col min="4" max="4" width="26.28515625" bestFit="1" customWidth="1"/>
    <col min="6" max="6" width="29.42578125" bestFit="1" customWidth="1"/>
  </cols>
  <sheetData>
    <row r="1" spans="1:8" x14ac:dyDescent="0.2">
      <c r="A1" s="234" t="s">
        <v>228</v>
      </c>
      <c r="B1" s="234"/>
      <c r="C1" s="234"/>
      <c r="D1" s="234"/>
    </row>
    <row r="3" spans="1:8" x14ac:dyDescent="0.2">
      <c r="A3" s="47" t="s">
        <v>104</v>
      </c>
      <c r="B3" s="6" t="s">
        <v>88</v>
      </c>
      <c r="C3" s="6" t="s">
        <v>87</v>
      </c>
      <c r="D3" s="6" t="s">
        <v>86</v>
      </c>
    </row>
    <row r="4" spans="1:8" x14ac:dyDescent="0.2">
      <c r="A4" s="11" t="s">
        <v>103</v>
      </c>
      <c r="B4" s="146"/>
      <c r="C4" s="146"/>
      <c r="D4" s="146"/>
    </row>
    <row r="5" spans="1:8" x14ac:dyDescent="0.2">
      <c r="A5" s="17" t="s">
        <v>102</v>
      </c>
      <c r="B5" s="18">
        <f>+B4</f>
        <v>0</v>
      </c>
      <c r="C5" s="18">
        <f>+C4</f>
        <v>0</v>
      </c>
      <c r="D5" s="18">
        <f>+D4</f>
        <v>0</v>
      </c>
      <c r="F5" s="145" t="s">
        <v>227</v>
      </c>
      <c r="G5" s="163"/>
      <c r="H5" s="163"/>
    </row>
    <row r="6" spans="1:8" x14ac:dyDescent="0.2">
      <c r="A6" s="233" t="s">
        <v>101</v>
      </c>
      <c r="B6" s="233"/>
      <c r="C6" s="233"/>
      <c r="D6" s="233"/>
      <c r="F6" s="161" t="s">
        <v>227</v>
      </c>
      <c r="G6" s="163"/>
      <c r="H6" s="163"/>
    </row>
    <row r="7" spans="1:8" x14ac:dyDescent="0.2">
      <c r="A7" s="3" t="s">
        <v>221</v>
      </c>
      <c r="B7" s="122"/>
      <c r="C7" s="205"/>
      <c r="D7" s="209"/>
      <c r="E7" s="14"/>
      <c r="F7" s="162" t="s">
        <v>227</v>
      </c>
      <c r="G7" s="163"/>
      <c r="H7" s="163"/>
    </row>
    <row r="8" spans="1:8" x14ac:dyDescent="0.2">
      <c r="A8" s="3" t="s">
        <v>100</v>
      </c>
      <c r="B8" s="121"/>
      <c r="C8" s="146"/>
      <c r="D8" s="146"/>
      <c r="E8" s="14"/>
      <c r="F8" s="213" t="s">
        <v>227</v>
      </c>
    </row>
    <row r="9" spans="1:8" x14ac:dyDescent="0.2">
      <c r="A9" s="3" t="s">
        <v>99</v>
      </c>
      <c r="B9" s="146"/>
      <c r="C9" s="146"/>
      <c r="D9" s="146"/>
      <c r="F9" s="214" t="s">
        <v>227</v>
      </c>
    </row>
    <row r="10" spans="1:8" x14ac:dyDescent="0.2">
      <c r="A10" s="17" t="s">
        <v>98</v>
      </c>
      <c r="B10" s="18">
        <f>SUM(B7:B9)</f>
        <v>0</v>
      </c>
      <c r="C10" s="18">
        <f>SUM(C7:C9)</f>
        <v>0</v>
      </c>
      <c r="D10" s="18">
        <f>SUM(D7:D9)</f>
        <v>0</v>
      </c>
    </row>
    <row r="11" spans="1:8" x14ac:dyDescent="0.2">
      <c r="A11" s="233" t="s">
        <v>97</v>
      </c>
      <c r="B11" s="233"/>
      <c r="C11" s="233"/>
      <c r="D11" s="233"/>
    </row>
    <row r="12" spans="1:8" x14ac:dyDescent="0.2">
      <c r="A12" s="3" t="s">
        <v>96</v>
      </c>
      <c r="B12" s="146"/>
      <c r="C12" s="146"/>
      <c r="D12" s="146"/>
    </row>
    <row r="13" spans="1:8" x14ac:dyDescent="0.2">
      <c r="A13" s="3" t="s">
        <v>95</v>
      </c>
      <c r="B13" s="146"/>
      <c r="C13" s="146"/>
      <c r="D13" s="146"/>
    </row>
    <row r="14" spans="1:8" x14ac:dyDescent="0.2">
      <c r="A14" s="3" t="s">
        <v>94</v>
      </c>
      <c r="B14" s="146"/>
      <c r="C14" s="146"/>
      <c r="D14" s="146"/>
    </row>
    <row r="15" spans="1:8" x14ac:dyDescent="0.2">
      <c r="A15" s="3" t="s">
        <v>93</v>
      </c>
      <c r="B15" s="146"/>
      <c r="C15" s="146"/>
      <c r="D15" s="146"/>
    </row>
    <row r="16" spans="1:8" x14ac:dyDescent="0.2">
      <c r="A16" s="3" t="s">
        <v>92</v>
      </c>
      <c r="B16" s="146"/>
      <c r="C16" s="146"/>
      <c r="D16" s="146"/>
    </row>
    <row r="17" spans="1:6" x14ac:dyDescent="0.2">
      <c r="A17" s="17" t="s">
        <v>91</v>
      </c>
      <c r="B17" s="18">
        <f>SUM(B12:B16)</f>
        <v>0</v>
      </c>
      <c r="C17" s="18">
        <f>SUM(C12:C16)</f>
        <v>0</v>
      </c>
      <c r="D17" s="18">
        <f>SUM(D12:D16)</f>
        <v>0</v>
      </c>
    </row>
    <row r="18" spans="1:6" x14ac:dyDescent="0.2">
      <c r="A18" s="25" t="s">
        <v>90</v>
      </c>
      <c r="B18" s="24">
        <f>+B17+B10+B5</f>
        <v>0</v>
      </c>
      <c r="C18" s="24">
        <f>+C17+C10+C5</f>
        <v>0</v>
      </c>
      <c r="D18" s="24">
        <f>+D17+D10+D5</f>
        <v>0</v>
      </c>
    </row>
    <row r="19" spans="1:6" x14ac:dyDescent="0.2">
      <c r="A19" s="127"/>
      <c r="B19" s="128"/>
      <c r="C19" s="128"/>
      <c r="D19" s="128"/>
    </row>
    <row r="20" spans="1:6" ht="13.5" thickBot="1" x14ac:dyDescent="0.25"/>
    <row r="21" spans="1:6" x14ac:dyDescent="0.2">
      <c r="A21" s="136" t="s">
        <v>241</v>
      </c>
      <c r="B21" s="204" t="s">
        <v>221</v>
      </c>
      <c r="C21" s="133" t="s">
        <v>222</v>
      </c>
      <c r="D21" s="204" t="s">
        <v>204</v>
      </c>
    </row>
    <row r="22" spans="1:6" x14ac:dyDescent="0.2">
      <c r="A22" s="123" t="s">
        <v>205</v>
      </c>
      <c r="B22" s="203">
        <v>200000</v>
      </c>
      <c r="C22" s="14" t="s">
        <v>205</v>
      </c>
      <c r="D22" s="203">
        <f>+B8</f>
        <v>0</v>
      </c>
    </row>
    <row r="23" spans="1:6" x14ac:dyDescent="0.2">
      <c r="A23" s="123" t="s">
        <v>206</v>
      </c>
      <c r="B23" s="130">
        <v>3.5000000000000003E-2</v>
      </c>
      <c r="C23" s="14" t="s">
        <v>206</v>
      </c>
      <c r="D23" s="134">
        <v>0.04</v>
      </c>
      <c r="F23" s="14"/>
    </row>
    <row r="24" spans="1:6" x14ac:dyDescent="0.2">
      <c r="A24" s="123" t="s">
        <v>207</v>
      </c>
      <c r="B24" s="131">
        <v>12</v>
      </c>
      <c r="C24" s="14" t="s">
        <v>207</v>
      </c>
      <c r="D24" s="135">
        <v>12</v>
      </c>
    </row>
    <row r="25" spans="1:6" x14ac:dyDescent="0.2">
      <c r="A25" s="123" t="s">
        <v>208</v>
      </c>
      <c r="B25" s="131">
        <v>3</v>
      </c>
      <c r="C25" s="14" t="s">
        <v>208</v>
      </c>
      <c r="D25" s="135">
        <v>3</v>
      </c>
    </row>
    <row r="26" spans="1:6" x14ac:dyDescent="0.2">
      <c r="A26" s="123" t="s">
        <v>209</v>
      </c>
      <c r="B26" s="200">
        <f>+B25*B24</f>
        <v>36</v>
      </c>
      <c r="C26" s="14" t="s">
        <v>209</v>
      </c>
      <c r="D26" s="200">
        <f>+D25*D24</f>
        <v>36</v>
      </c>
      <c r="E26" s="14" t="s">
        <v>240</v>
      </c>
    </row>
    <row r="27" spans="1:6" x14ac:dyDescent="0.2">
      <c r="A27" s="123" t="s">
        <v>210</v>
      </c>
      <c r="B27" s="132">
        <f>+'ce triennale'!C1</f>
        <v>3</v>
      </c>
      <c r="C27" s="14" t="s">
        <v>210</v>
      </c>
      <c r="D27" s="132">
        <f>+'ce triennale'!C1</f>
        <v>3</v>
      </c>
      <c r="E27" s="137"/>
    </row>
    <row r="28" spans="1:6" x14ac:dyDescent="0.2">
      <c r="A28" s="123" t="s">
        <v>211</v>
      </c>
      <c r="B28" s="132">
        <f>+'ce triennale'!E1</f>
        <v>12</v>
      </c>
      <c r="C28" s="14" t="s">
        <v>211</v>
      </c>
      <c r="D28" s="132">
        <f>+'ce triennale'!E1</f>
        <v>12</v>
      </c>
      <c r="E28" s="137"/>
    </row>
    <row r="29" spans="1:6" x14ac:dyDescent="0.2">
      <c r="A29" s="123" t="s">
        <v>212</v>
      </c>
      <c r="B29" s="132">
        <f>+'ce triennale'!G1</f>
        <v>12</v>
      </c>
      <c r="C29" s="14" t="s">
        <v>212</v>
      </c>
      <c r="D29" s="132">
        <f>IF(D26-D27-D28&lt;12,D26-D24-D25,12)</f>
        <v>12</v>
      </c>
      <c r="E29" s="137"/>
    </row>
    <row r="30" spans="1:6" x14ac:dyDescent="0.2">
      <c r="A30" s="123" t="s">
        <v>213</v>
      </c>
      <c r="B30" s="201">
        <f>PMT(B23/B24,B26,-B22)</f>
        <v>5860.4159453821621</v>
      </c>
      <c r="C30" s="14" t="s">
        <v>213</v>
      </c>
      <c r="D30" s="201">
        <f>PMT(D23/D24,D26,-D22)</f>
        <v>0</v>
      </c>
    </row>
    <row r="31" spans="1:6" x14ac:dyDescent="0.2">
      <c r="A31" s="123" t="s">
        <v>214</v>
      </c>
      <c r="B31" s="201">
        <f>+B30*B26</f>
        <v>210974.97403375784</v>
      </c>
      <c r="C31" s="14" t="s">
        <v>214</v>
      </c>
      <c r="D31" s="201">
        <f>+D30*D26</f>
        <v>0</v>
      </c>
    </row>
    <row r="32" spans="1:6" ht="13.5" thickBot="1" x14ac:dyDescent="0.25">
      <c r="A32" s="123" t="s">
        <v>215</v>
      </c>
      <c r="B32" s="132">
        <f>+B27</f>
        <v>3</v>
      </c>
      <c r="C32" s="14" t="s">
        <v>215</v>
      </c>
      <c r="D32" s="132">
        <f>+D27</f>
        <v>3</v>
      </c>
      <c r="F32" s="14"/>
    </row>
    <row r="33" spans="1:4" ht="13.5" thickBot="1" x14ac:dyDescent="0.25">
      <c r="A33" s="123" t="s">
        <v>216</v>
      </c>
      <c r="B33" s="202">
        <f>IF(B22&gt;(B31-B32*B30),B31-B32*B30,B22)</f>
        <v>193393.72619761137</v>
      </c>
      <c r="C33" s="14" t="s">
        <v>216</v>
      </c>
      <c r="D33" s="202">
        <f>IF(D22&gt;(D31-D32*D30),D31-D32*D30,D22)</f>
        <v>0</v>
      </c>
    </row>
    <row r="34" spans="1:4" ht="13.5" thickBot="1" x14ac:dyDescent="0.25">
      <c r="A34" s="123" t="s">
        <v>217</v>
      </c>
      <c r="B34" s="132">
        <f>+B27+B28</f>
        <v>15</v>
      </c>
      <c r="C34" s="14" t="s">
        <v>217</v>
      </c>
      <c r="D34" s="132">
        <f>+D27+D28</f>
        <v>15</v>
      </c>
    </row>
    <row r="35" spans="1:4" ht="13.5" thickBot="1" x14ac:dyDescent="0.25">
      <c r="A35" s="123" t="s">
        <v>218</v>
      </c>
      <c r="B35" s="120">
        <f>B22-B34*B30</f>
        <v>112093.76081926757</v>
      </c>
      <c r="C35" s="14" t="s">
        <v>218</v>
      </c>
      <c r="D35" s="120">
        <f>D22-D34*D30</f>
        <v>0</v>
      </c>
    </row>
    <row r="36" spans="1:4" ht="13.5" thickBot="1" x14ac:dyDescent="0.25">
      <c r="A36" s="123" t="s">
        <v>219</v>
      </c>
      <c r="B36" s="132">
        <f>+B34+B29</f>
        <v>27</v>
      </c>
      <c r="C36" s="14" t="s">
        <v>219</v>
      </c>
      <c r="D36" s="132">
        <f>+D27+D28+D29</f>
        <v>27</v>
      </c>
    </row>
    <row r="37" spans="1:4" ht="13.5" thickBot="1" x14ac:dyDescent="0.25">
      <c r="A37" s="124" t="s">
        <v>220</v>
      </c>
      <c r="B37" s="120">
        <f>IF(B22-B30*B36&gt;0,B22-B30*B36,0)</f>
        <v>41768.769474681612</v>
      </c>
      <c r="C37" s="129" t="s">
        <v>220</v>
      </c>
      <c r="D37" s="120">
        <f>IF(D22-D30*D36&gt;0,D22-D30*D36,0)</f>
        <v>0</v>
      </c>
    </row>
    <row r="38" spans="1:4" x14ac:dyDescent="0.2">
      <c r="A38" s="206" t="s">
        <v>242</v>
      </c>
      <c r="B38" s="204" t="str">
        <f>+B21</f>
        <v>Altri prestiti e mutui</v>
      </c>
    </row>
    <row r="39" spans="1:4" x14ac:dyDescent="0.2">
      <c r="A39" s="14" t="s">
        <v>205</v>
      </c>
      <c r="B39" s="203">
        <f>+C7</f>
        <v>0</v>
      </c>
    </row>
    <row r="40" spans="1:4" x14ac:dyDescent="0.2">
      <c r="A40" s="14" t="s">
        <v>206</v>
      </c>
      <c r="B40" s="207">
        <v>3.5000000000000003E-2</v>
      </c>
    </row>
    <row r="41" spans="1:4" x14ac:dyDescent="0.2">
      <c r="A41" s="14" t="s">
        <v>207</v>
      </c>
      <c r="B41" s="208">
        <v>12</v>
      </c>
    </row>
    <row r="42" spans="1:4" x14ac:dyDescent="0.2">
      <c r="A42" s="14" t="s">
        <v>208</v>
      </c>
      <c r="B42" s="208">
        <v>3</v>
      </c>
    </row>
    <row r="43" spans="1:4" x14ac:dyDescent="0.2">
      <c r="A43" s="14" t="s">
        <v>209</v>
      </c>
      <c r="B43" s="200">
        <f>+B42*B41</f>
        <v>36</v>
      </c>
    </row>
    <row r="44" spans="1:4" x14ac:dyDescent="0.2">
      <c r="A44" s="14" t="s">
        <v>211</v>
      </c>
      <c r="B44" s="208">
        <v>3</v>
      </c>
    </row>
    <row r="45" spans="1:4" x14ac:dyDescent="0.2">
      <c r="A45" s="14" t="s">
        <v>212</v>
      </c>
      <c r="B45" s="132">
        <f>+'ce triennale'!G1</f>
        <v>12</v>
      </c>
    </row>
    <row r="46" spans="1:4" x14ac:dyDescent="0.2">
      <c r="A46" s="14" t="s">
        <v>213</v>
      </c>
      <c r="B46" s="201">
        <f>PMT(B40/B41,B43,-B39)</f>
        <v>0</v>
      </c>
    </row>
    <row r="47" spans="1:4" x14ac:dyDescent="0.2">
      <c r="A47" s="14" t="s">
        <v>214</v>
      </c>
      <c r="B47" s="201">
        <f>+B46*B43</f>
        <v>0</v>
      </c>
    </row>
    <row r="48" spans="1:4" ht="13.5" thickBot="1" x14ac:dyDescent="0.25">
      <c r="A48" s="14" t="s">
        <v>217</v>
      </c>
      <c r="B48" s="132">
        <f>+B44</f>
        <v>3</v>
      </c>
    </row>
    <row r="49" spans="1:2" ht="13.5" thickBot="1" x14ac:dyDescent="0.25">
      <c r="A49" s="14" t="s">
        <v>218</v>
      </c>
      <c r="B49" s="120">
        <f>B39-B48*B46</f>
        <v>0</v>
      </c>
    </row>
    <row r="50" spans="1:2" ht="13.5" thickBot="1" x14ac:dyDescent="0.25">
      <c r="A50" s="14" t="s">
        <v>219</v>
      </c>
      <c r="B50" s="132">
        <f>+B44+B45</f>
        <v>15</v>
      </c>
    </row>
    <row r="51" spans="1:2" ht="13.5" thickBot="1" x14ac:dyDescent="0.25">
      <c r="A51" s="129" t="s">
        <v>220</v>
      </c>
      <c r="B51" s="120">
        <f>IF(B39-B46*B50&gt;0,B39-B46*B50,0)</f>
        <v>0</v>
      </c>
    </row>
    <row r="52" spans="1:2" x14ac:dyDescent="0.2">
      <c r="A52" s="210" t="s">
        <v>243</v>
      </c>
      <c r="B52" s="204" t="str">
        <f>+B38</f>
        <v>Altri prestiti e mutui</v>
      </c>
    </row>
    <row r="53" spans="1:2" x14ac:dyDescent="0.2">
      <c r="A53" s="14" t="s">
        <v>205</v>
      </c>
      <c r="B53" s="203">
        <f>+D7</f>
        <v>0</v>
      </c>
    </row>
    <row r="54" spans="1:2" x14ac:dyDescent="0.2">
      <c r="A54" s="14" t="s">
        <v>206</v>
      </c>
      <c r="B54" s="211">
        <v>3.5000000000000003E-2</v>
      </c>
    </row>
    <row r="55" spans="1:2" x14ac:dyDescent="0.2">
      <c r="A55" s="14" t="s">
        <v>207</v>
      </c>
      <c r="B55" s="212">
        <v>12</v>
      </c>
    </row>
    <row r="56" spans="1:2" x14ac:dyDescent="0.2">
      <c r="A56" s="14" t="s">
        <v>208</v>
      </c>
      <c r="B56" s="212">
        <v>3</v>
      </c>
    </row>
    <row r="57" spans="1:2" x14ac:dyDescent="0.2">
      <c r="A57" s="14" t="s">
        <v>209</v>
      </c>
      <c r="B57" s="200">
        <f>+B56*B55</f>
        <v>36</v>
      </c>
    </row>
    <row r="58" spans="1:2" x14ac:dyDescent="0.2">
      <c r="A58" s="14" t="s">
        <v>212</v>
      </c>
      <c r="B58" s="212">
        <v>3</v>
      </c>
    </row>
    <row r="59" spans="1:2" x14ac:dyDescent="0.2">
      <c r="A59" s="14" t="s">
        <v>213</v>
      </c>
      <c r="B59" s="201">
        <f>PMT(B54/B55,B57,-B53)</f>
        <v>0</v>
      </c>
    </row>
    <row r="60" spans="1:2" x14ac:dyDescent="0.2">
      <c r="A60" s="14" t="s">
        <v>214</v>
      </c>
      <c r="B60" s="201">
        <f>+B59*B57</f>
        <v>0</v>
      </c>
    </row>
    <row r="61" spans="1:2" ht="13.5" thickBot="1" x14ac:dyDescent="0.25">
      <c r="A61" s="14" t="s">
        <v>219</v>
      </c>
      <c r="B61" s="132">
        <f>B58</f>
        <v>3</v>
      </c>
    </row>
    <row r="62" spans="1:2" ht="13.5" thickBot="1" x14ac:dyDescent="0.25">
      <c r="A62" s="129" t="s">
        <v>220</v>
      </c>
      <c r="B62" s="120">
        <f>IF(B53-B59*B61&gt;0,B53-B59*B61,0)</f>
        <v>0</v>
      </c>
    </row>
  </sheetData>
  <mergeCells count="3">
    <mergeCell ref="A6:D6"/>
    <mergeCell ref="A11:D11"/>
    <mergeCell ref="A1:D1"/>
  </mergeCells>
  <phoneticPr fontId="0" type="noConversion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&amp;CFONTI COPERTURA INVESTIMENTI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6"/>
  <sheetViews>
    <sheetView workbookViewId="0">
      <selection activeCell="D6" sqref="D6"/>
    </sheetView>
  </sheetViews>
  <sheetFormatPr defaultRowHeight="12.75" x14ac:dyDescent="0.2"/>
  <cols>
    <col min="1" max="1" width="10.85546875" style="31" bestFit="1" customWidth="1"/>
    <col min="2" max="2" width="21.85546875" style="31" customWidth="1"/>
    <col min="3" max="3" width="18.7109375" style="31" customWidth="1"/>
    <col min="4" max="4" width="30.28515625" style="31" customWidth="1"/>
    <col min="5" max="5" width="9.140625" style="31"/>
    <col min="6" max="6" width="29.42578125" style="31" bestFit="1" customWidth="1"/>
    <col min="7" max="16384" width="9.140625" style="31"/>
  </cols>
  <sheetData>
    <row r="1" spans="1:6" x14ac:dyDescent="0.2">
      <c r="A1" s="33" t="s">
        <v>88</v>
      </c>
    </row>
    <row r="2" spans="1:6" ht="14.25" x14ac:dyDescent="0.2">
      <c r="A2" s="15" t="s">
        <v>110</v>
      </c>
      <c r="B2" s="235" t="s">
        <v>109</v>
      </c>
      <c r="C2" s="235" t="s">
        <v>108</v>
      </c>
      <c r="D2" s="15" t="s">
        <v>107</v>
      </c>
      <c r="F2" s="145" t="s">
        <v>227</v>
      </c>
    </row>
    <row r="3" spans="1:6" ht="14.25" x14ac:dyDescent="0.2">
      <c r="A3" s="15" t="s">
        <v>106</v>
      </c>
      <c r="B3" s="235"/>
      <c r="C3" s="235"/>
      <c r="D3" s="15" t="s">
        <v>144</v>
      </c>
    </row>
    <row r="4" spans="1:6" ht="15" x14ac:dyDescent="0.2">
      <c r="A4" s="164">
        <v>5</v>
      </c>
      <c r="B4" s="165"/>
      <c r="C4" s="164">
        <v>365</v>
      </c>
      <c r="D4" s="164">
        <v>0</v>
      </c>
    </row>
    <row r="5" spans="1:6" ht="15" x14ac:dyDescent="0.2">
      <c r="A5" s="164"/>
      <c r="B5" s="164"/>
      <c r="C5" s="164"/>
      <c r="D5" s="164"/>
    </row>
    <row r="6" spans="1:6" ht="15" x14ac:dyDescent="0.2">
      <c r="A6" s="164"/>
      <c r="B6" s="164"/>
      <c r="C6" s="164"/>
      <c r="D6" s="164"/>
    </row>
    <row r="7" spans="1:6" x14ac:dyDescent="0.2">
      <c r="A7" s="165"/>
      <c r="B7" s="165"/>
      <c r="C7" s="166"/>
      <c r="D7" s="166"/>
    </row>
    <row r="8" spans="1:6" x14ac:dyDescent="0.2">
      <c r="A8" s="236" t="s">
        <v>105</v>
      </c>
      <c r="B8" s="236"/>
      <c r="C8" s="236"/>
      <c r="D8" s="26">
        <f>SUM(D4:D7)</f>
        <v>0</v>
      </c>
    </row>
    <row r="10" spans="1:6" x14ac:dyDescent="0.2">
      <c r="A10" s="33" t="s">
        <v>87</v>
      </c>
    </row>
    <row r="11" spans="1:6" ht="14.25" x14ac:dyDescent="0.2">
      <c r="A11" s="15" t="s">
        <v>110</v>
      </c>
      <c r="B11" s="235" t="s">
        <v>109</v>
      </c>
      <c r="C11" s="235" t="s">
        <v>108</v>
      </c>
      <c r="D11" s="15" t="s">
        <v>107</v>
      </c>
    </row>
    <row r="12" spans="1:6" ht="14.25" x14ac:dyDescent="0.2">
      <c r="A12" s="15" t="s">
        <v>106</v>
      </c>
      <c r="B12" s="235"/>
      <c r="C12" s="235"/>
      <c r="D12" s="15" t="s">
        <v>144</v>
      </c>
    </row>
    <row r="13" spans="1:6" ht="15" x14ac:dyDescent="0.2">
      <c r="A13" s="164"/>
      <c r="B13" s="165"/>
      <c r="C13" s="164"/>
      <c r="D13" s="164"/>
    </row>
    <row r="14" spans="1:6" ht="15" x14ac:dyDescent="0.2">
      <c r="A14" s="164"/>
      <c r="B14" s="164"/>
      <c r="C14" s="164"/>
      <c r="D14" s="164"/>
    </row>
    <row r="15" spans="1:6" ht="15" x14ac:dyDescent="0.2">
      <c r="A15" s="164"/>
      <c r="B15" s="164"/>
      <c r="C15" s="164"/>
      <c r="D15" s="164"/>
    </row>
    <row r="16" spans="1:6" x14ac:dyDescent="0.2">
      <c r="A16" s="165"/>
      <c r="B16" s="165"/>
      <c r="C16" s="166"/>
      <c r="D16" s="166"/>
    </row>
    <row r="17" spans="1:4" ht="12.75" customHeight="1" x14ac:dyDescent="0.2">
      <c r="A17" s="236" t="s">
        <v>105</v>
      </c>
      <c r="B17" s="236"/>
      <c r="C17" s="236"/>
      <c r="D17" s="26">
        <f>SUM(D13:D16)</f>
        <v>0</v>
      </c>
    </row>
    <row r="19" spans="1:4" x14ac:dyDescent="0.2">
      <c r="A19" s="33" t="s">
        <v>86</v>
      </c>
    </row>
    <row r="20" spans="1:4" ht="14.25" x14ac:dyDescent="0.2">
      <c r="A20" s="15" t="s">
        <v>110</v>
      </c>
      <c r="B20" s="235" t="s">
        <v>109</v>
      </c>
      <c r="C20" s="235" t="s">
        <v>108</v>
      </c>
      <c r="D20" s="15" t="s">
        <v>107</v>
      </c>
    </row>
    <row r="21" spans="1:4" ht="14.25" x14ac:dyDescent="0.2">
      <c r="A21" s="15" t="s">
        <v>106</v>
      </c>
      <c r="B21" s="235"/>
      <c r="C21" s="235"/>
      <c r="D21" s="15" t="s">
        <v>144</v>
      </c>
    </row>
    <row r="22" spans="1:4" ht="15" x14ac:dyDescent="0.2">
      <c r="A22" s="164"/>
      <c r="B22" s="165"/>
      <c r="C22" s="164"/>
      <c r="D22" s="164"/>
    </row>
    <row r="23" spans="1:4" ht="15" x14ac:dyDescent="0.2">
      <c r="A23" s="164"/>
      <c r="B23" s="164"/>
      <c r="C23" s="164"/>
      <c r="D23" s="164"/>
    </row>
    <row r="24" spans="1:4" ht="15" x14ac:dyDescent="0.2">
      <c r="A24" s="164"/>
      <c r="B24" s="164"/>
      <c r="C24" s="164"/>
      <c r="D24" s="164"/>
    </row>
    <row r="25" spans="1:4" x14ac:dyDescent="0.2">
      <c r="A25" s="165"/>
      <c r="B25" s="165"/>
      <c r="C25" s="166"/>
      <c r="D25" s="166"/>
    </row>
    <row r="26" spans="1:4" ht="12.75" customHeight="1" x14ac:dyDescent="0.2">
      <c r="A26" s="236" t="s">
        <v>105</v>
      </c>
      <c r="B26" s="236"/>
      <c r="C26" s="236"/>
      <c r="D26" s="26">
        <f>SUM(D22:D25)</f>
        <v>0</v>
      </c>
    </row>
  </sheetData>
  <mergeCells count="9">
    <mergeCell ref="B20:B21"/>
    <mergeCell ref="C20:C21"/>
    <mergeCell ref="A26:C26"/>
    <mergeCell ref="B2:B3"/>
    <mergeCell ref="C2:C3"/>
    <mergeCell ref="A8:C8"/>
    <mergeCell ref="B11:B12"/>
    <mergeCell ref="C11:C12"/>
    <mergeCell ref="A17:C17"/>
  </mergeCells>
  <phoneticPr fontId="0" type="noConversion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&amp;CRISORSE UMANE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L15"/>
  <sheetViews>
    <sheetView workbookViewId="0">
      <selection activeCell="B5" sqref="B5:C5"/>
    </sheetView>
  </sheetViews>
  <sheetFormatPr defaultRowHeight="12.75" x14ac:dyDescent="0.2"/>
  <cols>
    <col min="1" max="1" width="26.28515625" style="31" customWidth="1"/>
    <col min="2" max="2" width="7.140625" style="31" bestFit="1" customWidth="1"/>
    <col min="3" max="3" width="9" style="31" bestFit="1" customWidth="1"/>
    <col min="4" max="4" width="14.28515625" style="31" bestFit="1" customWidth="1"/>
    <col min="5" max="5" width="7.140625" style="31" bestFit="1" customWidth="1"/>
    <col min="6" max="6" width="9" style="31" bestFit="1" customWidth="1"/>
    <col min="7" max="7" width="12.7109375" style="31" bestFit="1" customWidth="1"/>
    <col min="8" max="8" width="7.85546875" style="31" bestFit="1" customWidth="1"/>
    <col min="9" max="9" width="9" style="31" bestFit="1" customWidth="1"/>
    <col min="10" max="10" width="14.28515625" style="31" bestFit="1" customWidth="1"/>
    <col min="11" max="11" width="9.140625" style="31"/>
    <col min="12" max="12" width="29.42578125" style="31" bestFit="1" customWidth="1"/>
    <col min="13" max="16384" width="9.140625" style="31"/>
  </cols>
  <sheetData>
    <row r="2" spans="1:12" ht="13.5" thickBot="1" x14ac:dyDescent="0.25"/>
    <row r="3" spans="1:12" ht="14.25" x14ac:dyDescent="0.2">
      <c r="A3" s="239" t="s">
        <v>116</v>
      </c>
      <c r="B3" s="241" t="s">
        <v>115</v>
      </c>
      <c r="C3" s="242"/>
      <c r="D3" s="243"/>
      <c r="E3" s="241" t="s">
        <v>114</v>
      </c>
      <c r="F3" s="242"/>
      <c r="G3" s="243"/>
      <c r="H3" s="241" t="s">
        <v>113</v>
      </c>
      <c r="I3" s="242"/>
      <c r="J3" s="243"/>
      <c r="L3" s="145" t="s">
        <v>227</v>
      </c>
    </row>
    <row r="4" spans="1:12" ht="15" thickBot="1" x14ac:dyDescent="0.25">
      <c r="A4" s="240"/>
      <c r="B4" s="27" t="s">
        <v>112</v>
      </c>
      <c r="C4" s="15" t="s">
        <v>111</v>
      </c>
      <c r="D4" s="28" t="s">
        <v>145</v>
      </c>
      <c r="E4" s="27" t="s">
        <v>112</v>
      </c>
      <c r="F4" s="15" t="s">
        <v>111</v>
      </c>
      <c r="G4" s="28" t="s">
        <v>145</v>
      </c>
      <c r="H4" s="27" t="s">
        <v>112</v>
      </c>
      <c r="I4" s="15" t="s">
        <v>111</v>
      </c>
      <c r="J4" s="28" t="s">
        <v>145</v>
      </c>
    </row>
    <row r="5" spans="1:12" ht="14.25" x14ac:dyDescent="0.2">
      <c r="A5" s="174"/>
      <c r="B5" s="167"/>
      <c r="C5" s="168"/>
      <c r="D5" s="29">
        <f>+C5*B5</f>
        <v>0</v>
      </c>
      <c r="E5" s="167"/>
      <c r="F5" s="168"/>
      <c r="G5" s="29">
        <f>+F5*E5</f>
        <v>0</v>
      </c>
      <c r="H5" s="167"/>
      <c r="I5" s="168"/>
      <c r="J5" s="29">
        <f>+I5*H5</f>
        <v>0</v>
      </c>
    </row>
    <row r="6" spans="1:12" ht="14.25" x14ac:dyDescent="0.2">
      <c r="A6" s="175"/>
      <c r="B6" s="167"/>
      <c r="C6" s="168"/>
      <c r="D6" s="29">
        <f t="shared" ref="D6:D14" si="0">+C6*B6</f>
        <v>0</v>
      </c>
      <c r="E6" s="167"/>
      <c r="F6" s="168"/>
      <c r="G6" s="29">
        <f t="shared" ref="G6:G14" si="1">+F6*E6</f>
        <v>0</v>
      </c>
      <c r="H6" s="167"/>
      <c r="I6" s="168"/>
      <c r="J6" s="29">
        <f t="shared" ref="J6:J14" si="2">+I6*H6</f>
        <v>0</v>
      </c>
    </row>
    <row r="7" spans="1:12" ht="14.25" x14ac:dyDescent="0.2">
      <c r="A7" s="175"/>
      <c r="B7" s="167"/>
      <c r="C7" s="168"/>
      <c r="D7" s="29">
        <f t="shared" si="0"/>
        <v>0</v>
      </c>
      <c r="E7" s="167"/>
      <c r="F7" s="168"/>
      <c r="G7" s="29">
        <f t="shared" si="1"/>
        <v>0</v>
      </c>
      <c r="H7" s="167"/>
      <c r="I7" s="168"/>
      <c r="J7" s="29">
        <f t="shared" si="2"/>
        <v>0</v>
      </c>
    </row>
    <row r="8" spans="1:12" ht="14.25" x14ac:dyDescent="0.2">
      <c r="A8" s="175"/>
      <c r="B8" s="167"/>
      <c r="C8" s="168"/>
      <c r="D8" s="29">
        <f t="shared" si="0"/>
        <v>0</v>
      </c>
      <c r="E8" s="167"/>
      <c r="F8" s="168"/>
      <c r="G8" s="29">
        <f t="shared" si="1"/>
        <v>0</v>
      </c>
      <c r="H8" s="167"/>
      <c r="I8" s="168"/>
      <c r="J8" s="29">
        <f t="shared" si="2"/>
        <v>0</v>
      </c>
    </row>
    <row r="9" spans="1:12" ht="14.25" x14ac:dyDescent="0.2">
      <c r="A9" s="175"/>
      <c r="B9" s="167"/>
      <c r="C9" s="168"/>
      <c r="D9" s="29">
        <f t="shared" si="0"/>
        <v>0</v>
      </c>
      <c r="E9" s="167"/>
      <c r="F9" s="168"/>
      <c r="G9" s="29">
        <f t="shared" si="1"/>
        <v>0</v>
      </c>
      <c r="H9" s="167"/>
      <c r="I9" s="168"/>
      <c r="J9" s="29">
        <f t="shared" si="2"/>
        <v>0</v>
      </c>
    </row>
    <row r="10" spans="1:12" ht="15.75" x14ac:dyDescent="0.2">
      <c r="A10" s="176"/>
      <c r="B10" s="169"/>
      <c r="C10" s="170"/>
      <c r="D10" s="29">
        <f t="shared" si="0"/>
        <v>0</v>
      </c>
      <c r="E10" s="169"/>
      <c r="F10" s="170"/>
      <c r="G10" s="29">
        <f t="shared" si="1"/>
        <v>0</v>
      </c>
      <c r="H10" s="169"/>
      <c r="I10" s="170"/>
      <c r="J10" s="29">
        <f t="shared" si="2"/>
        <v>0</v>
      </c>
    </row>
    <row r="11" spans="1:12" ht="15.75" x14ac:dyDescent="0.2">
      <c r="A11" s="176"/>
      <c r="B11" s="169"/>
      <c r="C11" s="170"/>
      <c r="D11" s="29">
        <f t="shared" si="0"/>
        <v>0</v>
      </c>
      <c r="E11" s="169"/>
      <c r="F11" s="170"/>
      <c r="G11" s="29">
        <f t="shared" si="1"/>
        <v>0</v>
      </c>
      <c r="H11" s="169"/>
      <c r="I11" s="170"/>
      <c r="J11" s="29">
        <f t="shared" si="2"/>
        <v>0</v>
      </c>
    </row>
    <row r="12" spans="1:12" ht="15.75" x14ac:dyDescent="0.2">
      <c r="A12" s="176"/>
      <c r="B12" s="169"/>
      <c r="C12" s="170"/>
      <c r="D12" s="29">
        <f t="shared" si="0"/>
        <v>0</v>
      </c>
      <c r="E12" s="169"/>
      <c r="F12" s="170"/>
      <c r="G12" s="29">
        <f t="shared" si="1"/>
        <v>0</v>
      </c>
      <c r="H12" s="169"/>
      <c r="I12" s="170"/>
      <c r="J12" s="29">
        <f t="shared" si="2"/>
        <v>0</v>
      </c>
    </row>
    <row r="13" spans="1:12" ht="15.75" x14ac:dyDescent="0.2">
      <c r="A13" s="176"/>
      <c r="B13" s="171"/>
      <c r="C13" s="170"/>
      <c r="D13" s="29">
        <f t="shared" si="0"/>
        <v>0</v>
      </c>
      <c r="E13" s="171"/>
      <c r="F13" s="170"/>
      <c r="G13" s="29">
        <f t="shared" si="1"/>
        <v>0</v>
      </c>
      <c r="H13" s="171"/>
      <c r="I13" s="170"/>
      <c r="J13" s="29">
        <f t="shared" si="2"/>
        <v>0</v>
      </c>
    </row>
    <row r="14" spans="1:12" ht="16.5" thickBot="1" x14ac:dyDescent="0.25">
      <c r="A14" s="177"/>
      <c r="B14" s="172"/>
      <c r="C14" s="173"/>
      <c r="D14" s="30">
        <f t="shared" si="0"/>
        <v>0</v>
      </c>
      <c r="E14" s="172"/>
      <c r="F14" s="173"/>
      <c r="G14" s="30">
        <f t="shared" si="1"/>
        <v>0</v>
      </c>
      <c r="H14" s="172"/>
      <c r="I14" s="173"/>
      <c r="J14" s="30">
        <f t="shared" si="2"/>
        <v>0</v>
      </c>
    </row>
    <row r="15" spans="1:12" ht="13.5" thickBot="1" x14ac:dyDescent="0.25">
      <c r="B15" s="237" t="s">
        <v>145</v>
      </c>
      <c r="C15" s="238"/>
      <c r="D15" s="32">
        <f>SUM(D5:D14)</f>
        <v>0</v>
      </c>
      <c r="E15" s="237" t="s">
        <v>145</v>
      </c>
      <c r="F15" s="238"/>
      <c r="G15" s="32">
        <f>SUM(G5:G14)</f>
        <v>0</v>
      </c>
      <c r="H15" s="237" t="s">
        <v>145</v>
      </c>
      <c r="I15" s="238"/>
      <c r="J15" s="32">
        <f>SUM(J5:J14)</f>
        <v>0</v>
      </c>
    </row>
  </sheetData>
  <mergeCells count="7">
    <mergeCell ref="B15:C15"/>
    <mergeCell ref="E15:F15"/>
    <mergeCell ref="H15:I15"/>
    <mergeCell ref="A3:A4"/>
    <mergeCell ref="B3:D3"/>
    <mergeCell ref="E3:G3"/>
    <mergeCell ref="H3:J3"/>
  </mergeCells>
  <phoneticPr fontId="0" type="noConversion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&amp;CPREZZI DEI PRODOTTI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29"/>
  <sheetViews>
    <sheetView workbookViewId="0">
      <selection activeCell="B25" sqref="B25"/>
    </sheetView>
  </sheetViews>
  <sheetFormatPr defaultRowHeight="12.75" x14ac:dyDescent="0.2"/>
  <cols>
    <col min="1" max="1" width="41.7109375" style="31" customWidth="1"/>
    <col min="2" max="4" width="11.42578125" style="31" bestFit="1" customWidth="1"/>
    <col min="5" max="5" width="5.85546875" style="31" bestFit="1" customWidth="1"/>
    <col min="6" max="6" width="7.7109375" style="38" bestFit="1" customWidth="1"/>
    <col min="7" max="8" width="10.28515625" style="31" customWidth="1"/>
    <col min="9" max="9" width="13.140625" style="31" customWidth="1"/>
    <col min="10" max="10" width="9.140625" style="31"/>
    <col min="11" max="11" width="29.42578125" style="31" bestFit="1" customWidth="1"/>
    <col min="12" max="16384" width="9.140625" style="31"/>
  </cols>
  <sheetData>
    <row r="1" spans="1:11" x14ac:dyDescent="0.2">
      <c r="A1" s="4"/>
      <c r="B1" s="247" t="s">
        <v>127</v>
      </c>
      <c r="C1" s="247"/>
      <c r="D1" s="247"/>
      <c r="E1" s="247" t="s">
        <v>126</v>
      </c>
      <c r="F1" s="247"/>
      <c r="G1" s="247"/>
      <c r="H1" s="247"/>
      <c r="I1" s="247"/>
    </row>
    <row r="2" spans="1:11" ht="25.5" customHeight="1" x14ac:dyDescent="0.2">
      <c r="A2" s="4"/>
      <c r="B2" s="247" t="s">
        <v>125</v>
      </c>
      <c r="C2" s="247"/>
      <c r="D2" s="247"/>
      <c r="E2" s="4"/>
      <c r="F2" s="12" t="s">
        <v>2</v>
      </c>
      <c r="G2" s="248" t="s">
        <v>124</v>
      </c>
      <c r="H2" s="248"/>
      <c r="I2" s="248"/>
    </row>
    <row r="3" spans="1:11" x14ac:dyDescent="0.2">
      <c r="A3" s="4"/>
      <c r="B3" s="4" t="s">
        <v>121</v>
      </c>
      <c r="C3" s="4" t="s">
        <v>120</v>
      </c>
      <c r="D3" s="4" t="s">
        <v>119</v>
      </c>
      <c r="E3" s="4" t="s">
        <v>123</v>
      </c>
      <c r="F3" s="36" t="s">
        <v>122</v>
      </c>
      <c r="G3" s="4" t="s">
        <v>121</v>
      </c>
      <c r="H3" s="4" t="s">
        <v>120</v>
      </c>
      <c r="I3" s="4" t="s">
        <v>119</v>
      </c>
    </row>
    <row r="4" spans="1:11" x14ac:dyDescent="0.2">
      <c r="A4" s="22" t="str">
        <f>+'piano invest'!A2</f>
        <v>A) IMMOBILIZZAZIONI MATERIALI</v>
      </c>
      <c r="B4" s="4"/>
      <c r="C4" s="4"/>
      <c r="D4" s="4"/>
      <c r="E4" s="4"/>
      <c r="F4" s="12"/>
      <c r="G4" s="4"/>
      <c r="H4" s="4"/>
      <c r="I4" s="4"/>
    </row>
    <row r="5" spans="1:11" x14ac:dyDescent="0.2">
      <c r="A5" s="3" t="str">
        <f>+'piano invest'!A3</f>
        <v xml:space="preserve">Terreni </v>
      </c>
      <c r="B5" s="35">
        <f>+'piano invest'!B3</f>
        <v>0</v>
      </c>
      <c r="C5" s="35">
        <f>+'piano invest'!C3</f>
        <v>0</v>
      </c>
      <c r="D5" s="35">
        <f>+'piano invest'!D3</f>
        <v>0</v>
      </c>
      <c r="E5" s="180"/>
      <c r="F5" s="37"/>
      <c r="G5" s="2"/>
      <c r="H5" s="2"/>
      <c r="I5" s="2"/>
      <c r="K5" s="145" t="s">
        <v>227</v>
      </c>
    </row>
    <row r="6" spans="1:11" x14ac:dyDescent="0.2">
      <c r="A6" s="3" t="str">
        <f>+'piano invest'!A4</f>
        <v>Fabbricati</v>
      </c>
      <c r="B6" s="35">
        <f>+'piano invest'!B4</f>
        <v>0</v>
      </c>
      <c r="C6" s="35">
        <f>+'piano invest'!C4</f>
        <v>0</v>
      </c>
      <c r="D6" s="35">
        <f>+'piano invest'!D4</f>
        <v>0</v>
      </c>
      <c r="E6" s="178">
        <v>30</v>
      </c>
      <c r="F6" s="12">
        <f>100/E6/100</f>
        <v>3.3333333333333333E-2</v>
      </c>
      <c r="G6" s="35">
        <f>+B6*F6</f>
        <v>0</v>
      </c>
      <c r="H6" s="35">
        <f>+F6*C6</f>
        <v>0</v>
      </c>
      <c r="I6" s="35">
        <f>+D6*F6</f>
        <v>0</v>
      </c>
    </row>
    <row r="7" spans="1:11" x14ac:dyDescent="0.2">
      <c r="A7" s="3" t="str">
        <f>+'piano invest'!A5</f>
        <v xml:space="preserve">Impianti </v>
      </c>
      <c r="B7" s="35">
        <f>+'piano invest'!B5</f>
        <v>0</v>
      </c>
      <c r="C7" s="35">
        <f>+'piano invest'!C5</f>
        <v>0</v>
      </c>
      <c r="D7" s="35">
        <f>+'piano invest'!D5</f>
        <v>0</v>
      </c>
      <c r="E7" s="178">
        <v>8</v>
      </c>
      <c r="F7" s="12">
        <f t="shared" ref="F7:F14" si="0">100/E7/100</f>
        <v>0.125</v>
      </c>
      <c r="G7" s="35">
        <f t="shared" ref="G7:G14" si="1">+B7*F7</f>
        <v>0</v>
      </c>
      <c r="H7" s="35">
        <f t="shared" ref="H7:H14" si="2">+F7*C7</f>
        <v>0</v>
      </c>
      <c r="I7" s="35">
        <f t="shared" ref="I7:I14" si="3">+D7*F7</f>
        <v>0</v>
      </c>
    </row>
    <row r="8" spans="1:11" x14ac:dyDescent="0.2">
      <c r="A8" s="3" t="str">
        <f>+'piano invest'!A6</f>
        <v>Macchinari</v>
      </c>
      <c r="B8" s="35">
        <f>+'piano invest'!B6</f>
        <v>0</v>
      </c>
      <c r="C8" s="35">
        <f>+'piano invest'!C6</f>
        <v>0</v>
      </c>
      <c r="D8" s="35">
        <f>+'piano invest'!D6</f>
        <v>0</v>
      </c>
      <c r="E8" s="178">
        <v>8</v>
      </c>
      <c r="F8" s="12">
        <f t="shared" si="0"/>
        <v>0.125</v>
      </c>
      <c r="G8" s="35">
        <f t="shared" si="1"/>
        <v>0</v>
      </c>
      <c r="H8" s="35">
        <f t="shared" si="2"/>
        <v>0</v>
      </c>
      <c r="I8" s="35">
        <f t="shared" si="3"/>
        <v>0</v>
      </c>
    </row>
    <row r="9" spans="1:11" x14ac:dyDescent="0.2">
      <c r="A9" s="3" t="str">
        <f>+'piano invest'!A7</f>
        <v>Attrezzature industriali e commerciali</v>
      </c>
      <c r="B9" s="35">
        <f>+'piano invest'!B7</f>
        <v>0</v>
      </c>
      <c r="C9" s="35">
        <f>+'piano invest'!C7</f>
        <v>0</v>
      </c>
      <c r="D9" s="35">
        <f>+'piano invest'!D7</f>
        <v>0</v>
      </c>
      <c r="E9" s="178">
        <v>5</v>
      </c>
      <c r="F9" s="12">
        <f t="shared" si="0"/>
        <v>0.2</v>
      </c>
      <c r="G9" s="35">
        <f t="shared" si="1"/>
        <v>0</v>
      </c>
      <c r="H9" s="35">
        <f t="shared" si="2"/>
        <v>0</v>
      </c>
      <c r="I9" s="35">
        <f t="shared" si="3"/>
        <v>0</v>
      </c>
    </row>
    <row r="10" spans="1:11" x14ac:dyDescent="0.2">
      <c r="A10" s="3" t="str">
        <f>+'piano invest'!A8</f>
        <v>Mobili e arredi</v>
      </c>
      <c r="B10" s="35">
        <f>+'piano invest'!B8</f>
        <v>0</v>
      </c>
      <c r="C10" s="35">
        <f>+'piano invest'!C8</f>
        <v>0</v>
      </c>
      <c r="D10" s="35">
        <f>+'piano invest'!D8</f>
        <v>0</v>
      </c>
      <c r="E10" s="178">
        <v>5</v>
      </c>
      <c r="F10" s="12">
        <f t="shared" si="0"/>
        <v>0.2</v>
      </c>
      <c r="G10" s="35">
        <f t="shared" si="1"/>
        <v>0</v>
      </c>
      <c r="H10" s="35">
        <f t="shared" si="2"/>
        <v>0</v>
      </c>
      <c r="I10" s="35">
        <f t="shared" si="3"/>
        <v>0</v>
      </c>
    </row>
    <row r="11" spans="1:11" x14ac:dyDescent="0.2">
      <c r="A11" s="3" t="str">
        <f>+'piano invest'!A9</f>
        <v>Automezzi e altri mezzi di trasporto</v>
      </c>
      <c r="B11" s="35">
        <f>+'piano invest'!B9</f>
        <v>0</v>
      </c>
      <c r="C11" s="35">
        <f>+'piano invest'!C9</f>
        <v>0</v>
      </c>
      <c r="D11" s="35">
        <f>+'piano invest'!D9</f>
        <v>0</v>
      </c>
      <c r="E11" s="178">
        <v>5</v>
      </c>
      <c r="F11" s="12">
        <f t="shared" si="0"/>
        <v>0.2</v>
      </c>
      <c r="G11" s="35">
        <f t="shared" si="1"/>
        <v>0</v>
      </c>
      <c r="H11" s="35">
        <f t="shared" si="2"/>
        <v>0</v>
      </c>
      <c r="I11" s="35">
        <f t="shared" si="3"/>
        <v>0</v>
      </c>
    </row>
    <row r="12" spans="1:11" x14ac:dyDescent="0.2">
      <c r="A12" s="3" t="str">
        <f>+'piano invest'!A10</f>
        <v>Macchine d'ufficio</v>
      </c>
      <c r="B12" s="35">
        <f>+'piano invest'!B10</f>
        <v>0</v>
      </c>
      <c r="C12" s="35">
        <f>+'piano invest'!C10</f>
        <v>0</v>
      </c>
      <c r="D12" s="35">
        <f>+'piano invest'!D10</f>
        <v>0</v>
      </c>
      <c r="E12" s="178">
        <v>4</v>
      </c>
      <c r="F12" s="12">
        <f t="shared" si="0"/>
        <v>0.25</v>
      </c>
      <c r="G12" s="35">
        <f t="shared" si="1"/>
        <v>0</v>
      </c>
      <c r="H12" s="35">
        <f t="shared" si="2"/>
        <v>0</v>
      </c>
      <c r="I12" s="35">
        <f t="shared" si="3"/>
        <v>0</v>
      </c>
    </row>
    <row r="13" spans="1:11" x14ac:dyDescent="0.2">
      <c r="A13" s="3" t="str">
        <f>+'piano invest'!A11</f>
        <v>Computer</v>
      </c>
      <c r="B13" s="35">
        <f>+'piano invest'!B11</f>
        <v>10000</v>
      </c>
      <c r="C13" s="35">
        <f>+'piano invest'!C11</f>
        <v>0</v>
      </c>
      <c r="D13" s="35">
        <f>+'piano invest'!D11</f>
        <v>0</v>
      </c>
      <c r="E13" s="178">
        <v>5</v>
      </c>
      <c r="F13" s="12">
        <f t="shared" si="0"/>
        <v>0.2</v>
      </c>
      <c r="G13" s="35">
        <f t="shared" si="1"/>
        <v>2000</v>
      </c>
      <c r="H13" s="35">
        <f t="shared" si="2"/>
        <v>0</v>
      </c>
      <c r="I13" s="35">
        <f t="shared" si="3"/>
        <v>0</v>
      </c>
    </row>
    <row r="14" spans="1:11" x14ac:dyDescent="0.2">
      <c r="A14" s="3" t="str">
        <f>+'piano invest'!A12</f>
        <v>Altri beni</v>
      </c>
      <c r="B14" s="35">
        <f>+'piano invest'!B12</f>
        <v>2000</v>
      </c>
      <c r="C14" s="35">
        <f>+'piano invest'!C12</f>
        <v>0</v>
      </c>
      <c r="D14" s="35">
        <f>+'piano invest'!D12</f>
        <v>0</v>
      </c>
      <c r="E14" s="178">
        <v>5</v>
      </c>
      <c r="F14" s="12">
        <f t="shared" si="0"/>
        <v>0.2</v>
      </c>
      <c r="G14" s="35">
        <f t="shared" si="1"/>
        <v>400</v>
      </c>
      <c r="H14" s="35">
        <f t="shared" si="2"/>
        <v>0</v>
      </c>
      <c r="I14" s="35">
        <f t="shared" si="3"/>
        <v>0</v>
      </c>
    </row>
    <row r="15" spans="1:11" x14ac:dyDescent="0.2">
      <c r="A15" s="22" t="str">
        <f>+'piano invest'!A13</f>
        <v>A) TOTALE IMMOBILIZZAZIONI MATERIALI</v>
      </c>
      <c r="B15" s="41">
        <f>SUM(B5:B14)</f>
        <v>12000</v>
      </c>
      <c r="C15" s="41">
        <f>SUM(C5:C14)</f>
        <v>0</v>
      </c>
      <c r="D15" s="41">
        <f>SUM(D5:D14)</f>
        <v>0</v>
      </c>
      <c r="E15" s="179"/>
      <c r="F15" s="42"/>
      <c r="G15" s="41">
        <f>SUM(G5:G14)</f>
        <v>2400</v>
      </c>
      <c r="H15" s="41">
        <f>SUM(H5:H14)</f>
        <v>0</v>
      </c>
      <c r="I15" s="41">
        <f>SUM(I5:I14)</f>
        <v>0</v>
      </c>
    </row>
    <row r="16" spans="1:11" x14ac:dyDescent="0.2">
      <c r="A16" s="22" t="str">
        <f>+'piano invest'!A15</f>
        <v>B) IMMOBILIZZAZIONI IMMATERIALI</v>
      </c>
      <c r="B16" s="2"/>
      <c r="C16" s="2"/>
      <c r="D16" s="2"/>
      <c r="E16" s="178"/>
      <c r="F16" s="12"/>
      <c r="G16" s="2"/>
      <c r="H16" s="2"/>
      <c r="I16" s="2"/>
    </row>
    <row r="17" spans="1:9" x14ac:dyDescent="0.2">
      <c r="A17" s="16" t="str">
        <f>+'piano invest'!A16</f>
        <v>Spese di costituzione e avvio</v>
      </c>
      <c r="B17" s="43">
        <f>+'piano invest'!B16</f>
        <v>0</v>
      </c>
      <c r="C17" s="43">
        <f>+'piano invest'!C16</f>
        <v>0</v>
      </c>
      <c r="D17" s="43">
        <f>+'piano invest'!D16</f>
        <v>0</v>
      </c>
      <c r="E17" s="178">
        <v>5</v>
      </c>
      <c r="F17" s="12">
        <f>100/E17/100</f>
        <v>0.2</v>
      </c>
      <c r="G17" s="35">
        <f>+B17*F17</f>
        <v>0</v>
      </c>
      <c r="H17" s="35">
        <f t="shared" ref="H17:H23" si="4">+F17*C17</f>
        <v>0</v>
      </c>
      <c r="I17" s="35">
        <f t="shared" ref="I17:I23" si="5">+D17*F17</f>
        <v>0</v>
      </c>
    </row>
    <row r="18" spans="1:9" x14ac:dyDescent="0.2">
      <c r="A18" s="16" t="str">
        <f>+'piano invest'!A17</f>
        <v xml:space="preserve">Costi di pubblicità, ricerca, ... </v>
      </c>
      <c r="B18" s="43">
        <f>+'piano invest'!B17</f>
        <v>0</v>
      </c>
      <c r="C18" s="43">
        <f>+'piano invest'!C17</f>
        <v>0</v>
      </c>
      <c r="D18" s="43">
        <f>+'piano invest'!D17</f>
        <v>0</v>
      </c>
      <c r="E18" s="178">
        <v>5</v>
      </c>
      <c r="F18" s="12">
        <f t="shared" ref="F18:F23" si="6">100/E18/100</f>
        <v>0.2</v>
      </c>
      <c r="G18" s="35">
        <f t="shared" ref="G18:G23" si="7">+B18*F18</f>
        <v>0</v>
      </c>
      <c r="H18" s="35">
        <f t="shared" si="4"/>
        <v>0</v>
      </c>
      <c r="I18" s="35">
        <f t="shared" si="5"/>
        <v>0</v>
      </c>
    </row>
    <row r="19" spans="1:9" x14ac:dyDescent="0.2">
      <c r="A19" s="16" t="str">
        <f>+'piano invest'!A18</f>
        <v>Software (Programmi informatici)</v>
      </c>
      <c r="B19" s="43">
        <f>+'piano invest'!B18</f>
        <v>0</v>
      </c>
      <c r="C19" s="43">
        <f>+'piano invest'!C18</f>
        <v>0</v>
      </c>
      <c r="D19" s="43">
        <f>+'piano invest'!D18</f>
        <v>0</v>
      </c>
      <c r="E19" s="178">
        <v>3</v>
      </c>
      <c r="F19" s="12">
        <f t="shared" si="6"/>
        <v>0.33333333333333337</v>
      </c>
      <c r="G19" s="35">
        <f t="shared" si="7"/>
        <v>0</v>
      </c>
      <c r="H19" s="35">
        <f t="shared" si="4"/>
        <v>0</v>
      </c>
      <c r="I19" s="35">
        <f t="shared" si="5"/>
        <v>0</v>
      </c>
    </row>
    <row r="20" spans="1:9" x14ac:dyDescent="0.2">
      <c r="A20" s="16" t="str">
        <f>+'piano invest'!A19</f>
        <v>Brevetti</v>
      </c>
      <c r="B20" s="43">
        <f>+'piano invest'!B19</f>
        <v>0</v>
      </c>
      <c r="C20" s="43">
        <f>+'piano invest'!C19</f>
        <v>0</v>
      </c>
      <c r="D20" s="43">
        <f>+'piano invest'!D19</f>
        <v>0</v>
      </c>
      <c r="E20" s="178">
        <v>3</v>
      </c>
      <c r="F20" s="12">
        <f t="shared" si="6"/>
        <v>0.33333333333333337</v>
      </c>
      <c r="G20" s="35">
        <f t="shared" si="7"/>
        <v>0</v>
      </c>
      <c r="H20" s="35">
        <f t="shared" si="4"/>
        <v>0</v>
      </c>
      <c r="I20" s="35">
        <f t="shared" si="5"/>
        <v>0</v>
      </c>
    </row>
    <row r="21" spans="1:9" x14ac:dyDescent="0.2">
      <c r="A21" s="16" t="str">
        <f>+'piano invest'!A20</f>
        <v>Concessioni licenze, marchi, …</v>
      </c>
      <c r="B21" s="43">
        <f>+'piano invest'!B20</f>
        <v>0</v>
      </c>
      <c r="C21" s="43">
        <f>+'piano invest'!C20</f>
        <v>0</v>
      </c>
      <c r="D21" s="43">
        <f>+'piano invest'!D20</f>
        <v>0</v>
      </c>
      <c r="E21" s="178">
        <v>3</v>
      </c>
      <c r="F21" s="12">
        <f t="shared" si="6"/>
        <v>0.33333333333333337</v>
      </c>
      <c r="G21" s="35">
        <f t="shared" si="7"/>
        <v>0</v>
      </c>
      <c r="H21" s="35">
        <f t="shared" si="4"/>
        <v>0</v>
      </c>
      <c r="I21" s="35">
        <f t="shared" si="5"/>
        <v>0</v>
      </c>
    </row>
    <row r="22" spans="1:9" x14ac:dyDescent="0.2">
      <c r="A22" s="16" t="str">
        <f>+'piano invest'!A21</f>
        <v>Avviamento</v>
      </c>
      <c r="B22" s="43">
        <f>+'piano invest'!B21</f>
        <v>0</v>
      </c>
      <c r="C22" s="43">
        <f>+'piano invest'!C21</f>
        <v>0</v>
      </c>
      <c r="D22" s="43">
        <f>+'piano invest'!D21</f>
        <v>0</v>
      </c>
      <c r="E22" s="178">
        <v>5</v>
      </c>
      <c r="F22" s="12">
        <f t="shared" si="6"/>
        <v>0.2</v>
      </c>
      <c r="G22" s="35">
        <f t="shared" si="7"/>
        <v>0</v>
      </c>
      <c r="H22" s="35">
        <f t="shared" si="4"/>
        <v>0</v>
      </c>
      <c r="I22" s="35">
        <f t="shared" si="5"/>
        <v>0</v>
      </c>
    </row>
    <row r="23" spans="1:9" x14ac:dyDescent="0.2">
      <c r="A23" s="16" t="str">
        <f>+'piano invest'!A22</f>
        <v>Altri beni</v>
      </c>
      <c r="B23" s="43">
        <f>+'piano invest'!B22</f>
        <v>0</v>
      </c>
      <c r="C23" s="43">
        <f>+'piano invest'!C22</f>
        <v>0</v>
      </c>
      <c r="D23" s="43">
        <f>+'piano invest'!D22</f>
        <v>0</v>
      </c>
      <c r="E23" s="178">
        <v>5</v>
      </c>
      <c r="F23" s="12">
        <f t="shared" si="6"/>
        <v>0.2</v>
      </c>
      <c r="G23" s="35">
        <f t="shared" si="7"/>
        <v>0</v>
      </c>
      <c r="H23" s="35">
        <f t="shared" si="4"/>
        <v>0</v>
      </c>
      <c r="I23" s="35">
        <f t="shared" si="5"/>
        <v>0</v>
      </c>
    </row>
    <row r="24" spans="1:9" x14ac:dyDescent="0.2">
      <c r="A24" s="22" t="str">
        <f>+'piano invest'!A23</f>
        <v>B) TOTALE IMMOBILIZZAZIONI IMMATERIALI</v>
      </c>
      <c r="B24" s="41">
        <f>SUM(B17:B23)</f>
        <v>0</v>
      </c>
      <c r="C24" s="41">
        <f>SUM(C17:C23)</f>
        <v>0</v>
      </c>
      <c r="D24" s="41">
        <f>SUM(D17:D23)</f>
        <v>0</v>
      </c>
      <c r="E24" s="39"/>
      <c r="F24" s="40"/>
      <c r="G24" s="41">
        <f>SUM(G17:G23)</f>
        <v>0</v>
      </c>
      <c r="H24" s="41">
        <f>SUM(H17:H23)</f>
        <v>0</v>
      </c>
      <c r="I24" s="41">
        <f>SUM(I17:I23)</f>
        <v>0</v>
      </c>
    </row>
    <row r="25" spans="1:9" x14ac:dyDescent="0.2">
      <c r="A25" s="23" t="str">
        <f>+'piano invest'!A24</f>
        <v>TOTALE IMMOBILIZZAZIONI (A + B)</v>
      </c>
      <c r="B25" s="44">
        <f>+B15+B24</f>
        <v>12000</v>
      </c>
      <c r="C25" s="44">
        <f>+C15+C24</f>
        <v>0</v>
      </c>
      <c r="D25" s="44">
        <f>+D15+D24</f>
        <v>0</v>
      </c>
      <c r="E25" s="45"/>
      <c r="F25" s="46"/>
      <c r="G25" s="44">
        <f>+G15+G24</f>
        <v>2400</v>
      </c>
      <c r="H25" s="44">
        <f>+H15+H24</f>
        <v>0</v>
      </c>
      <c r="I25" s="44">
        <f>+I15+I24</f>
        <v>0</v>
      </c>
    </row>
    <row r="26" spans="1:9" x14ac:dyDescent="0.2">
      <c r="A26" s="244" t="s">
        <v>117</v>
      </c>
      <c r="B26" s="245"/>
      <c r="C26" s="245"/>
      <c r="D26" s="245"/>
      <c r="E26" s="245"/>
      <c r="F26" s="245"/>
      <c r="G26" s="245"/>
      <c r="H26" s="245"/>
      <c r="I26" s="246"/>
    </row>
    <row r="29" spans="1:9" x14ac:dyDescent="0.2">
      <c r="A29" s="34"/>
    </row>
  </sheetData>
  <mergeCells count="5">
    <mergeCell ref="A26:I26"/>
    <mergeCell ref="B1:D1"/>
    <mergeCell ref="B2:D2"/>
    <mergeCell ref="E1:I1"/>
    <mergeCell ref="G2:I2"/>
  </mergeCells>
  <phoneticPr fontId="0" type="noConversion"/>
  <hyperlinks>
    <hyperlink ref="F3" location="_ftn1" display="_ftn1" xr:uid="{00000000-0004-0000-0400-000000000000}"/>
    <hyperlink ref="A26" location="_ftnref1" display="_ftnref1" xr:uid="{00000000-0004-0000-0400-000001000000}"/>
  </hyperlinks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&amp;CAMMORTAMENTI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L63"/>
  <sheetViews>
    <sheetView tabSelected="1" workbookViewId="0">
      <selection activeCell="B23" sqref="B23"/>
    </sheetView>
  </sheetViews>
  <sheetFormatPr defaultRowHeight="12.75" x14ac:dyDescent="0.2"/>
  <cols>
    <col min="1" max="1" width="29" bestFit="1" customWidth="1"/>
    <col min="2" max="2" width="12.140625" style="187" bestFit="1" customWidth="1"/>
    <col min="3" max="3" width="7.28515625" bestFit="1" customWidth="1"/>
    <col min="4" max="4" width="11.140625" bestFit="1" customWidth="1"/>
    <col min="5" max="5" width="7.28515625" bestFit="1" customWidth="1"/>
    <col min="6" max="6" width="12.140625" bestFit="1" customWidth="1"/>
    <col min="7" max="7" width="7.28515625" bestFit="1" customWidth="1"/>
    <col min="8" max="8" width="10.85546875" customWidth="1"/>
    <col min="9" max="9" width="47.7109375" style="31" bestFit="1" customWidth="1"/>
    <col min="10" max="10" width="19.85546875" bestFit="1" customWidth="1"/>
  </cols>
  <sheetData>
    <row r="1" spans="1:9" ht="18" customHeight="1" thickBot="1" x14ac:dyDescent="0.3">
      <c r="A1" s="196" t="s">
        <v>236</v>
      </c>
      <c r="B1" s="197" t="s">
        <v>237</v>
      </c>
      <c r="C1" s="198">
        <v>3</v>
      </c>
      <c r="D1" s="199" t="s">
        <v>238</v>
      </c>
      <c r="E1" s="198">
        <v>12</v>
      </c>
      <c r="F1" s="199" t="s">
        <v>239</v>
      </c>
      <c r="G1" s="198">
        <v>12</v>
      </c>
    </row>
    <row r="2" spans="1:9" ht="18" customHeight="1" x14ac:dyDescent="0.2">
      <c r="A2" s="196"/>
    </row>
    <row r="3" spans="1:9" x14ac:dyDescent="0.2">
      <c r="A3" s="6" t="s">
        <v>134</v>
      </c>
      <c r="B3" s="249" t="s">
        <v>232</v>
      </c>
      <c r="C3" s="249"/>
      <c r="D3" s="249">
        <v>2012</v>
      </c>
      <c r="E3" s="249"/>
      <c r="F3" s="249">
        <v>2013</v>
      </c>
      <c r="G3" s="249"/>
      <c r="H3" s="140"/>
      <c r="I3" s="145" t="s">
        <v>227</v>
      </c>
    </row>
    <row r="4" spans="1:9" x14ac:dyDescent="0.2">
      <c r="A4" s="1"/>
      <c r="B4" s="181" t="s">
        <v>133</v>
      </c>
      <c r="C4" s="6" t="s">
        <v>2</v>
      </c>
      <c r="D4" s="6" t="s">
        <v>133</v>
      </c>
      <c r="E4" s="6" t="s">
        <v>2</v>
      </c>
      <c r="F4" s="6" t="s">
        <v>133</v>
      </c>
      <c r="G4" s="6" t="s">
        <v>2</v>
      </c>
      <c r="H4" s="140"/>
    </row>
    <row r="5" spans="1:9" ht="13.5" x14ac:dyDescent="0.2">
      <c r="A5" s="3" t="s">
        <v>146</v>
      </c>
      <c r="B5" s="182">
        <v>164000</v>
      </c>
      <c r="C5" s="37">
        <f>+B5/$B$7</f>
        <v>1</v>
      </c>
      <c r="D5" s="182">
        <v>164000</v>
      </c>
      <c r="E5" s="37">
        <f>+D5/$D$7</f>
        <v>1</v>
      </c>
      <c r="F5" s="182">
        <v>164000</v>
      </c>
      <c r="G5" s="37">
        <f>+F5/$F$7</f>
        <v>1</v>
      </c>
      <c r="H5" s="141" t="s">
        <v>223</v>
      </c>
    </row>
    <row r="6" spans="1:9" x14ac:dyDescent="0.2">
      <c r="A6" s="3" t="s">
        <v>147</v>
      </c>
      <c r="B6" s="183"/>
      <c r="C6" s="37">
        <f t="shared" ref="C6:C61" si="0">+B6/$B$7</f>
        <v>0</v>
      </c>
      <c r="D6" s="183"/>
      <c r="E6" s="37">
        <f t="shared" ref="E6:E61" si="1">+D6/$D$7</f>
        <v>0</v>
      </c>
      <c r="F6" s="183"/>
      <c r="G6" s="37">
        <f t="shared" ref="G6:G61" si="2">+F6/$F$7</f>
        <v>0</v>
      </c>
      <c r="H6" s="139"/>
    </row>
    <row r="7" spans="1:9" x14ac:dyDescent="0.2">
      <c r="A7" s="22" t="s">
        <v>132</v>
      </c>
      <c r="B7" s="184">
        <f>SUM(B5:B6)</f>
        <v>164000</v>
      </c>
      <c r="C7" s="48">
        <f t="shared" si="0"/>
        <v>1</v>
      </c>
      <c r="D7" s="184">
        <f>SUM(D5:D6)</f>
        <v>164000</v>
      </c>
      <c r="E7" s="48">
        <f t="shared" si="1"/>
        <v>1</v>
      </c>
      <c r="F7" s="184">
        <f>SUM(F5:F6)</f>
        <v>164000</v>
      </c>
      <c r="G7" s="48">
        <f t="shared" si="2"/>
        <v>1</v>
      </c>
      <c r="H7" s="138"/>
    </row>
    <row r="8" spans="1:9" x14ac:dyDescent="0.2">
      <c r="A8" s="22" t="s">
        <v>34</v>
      </c>
      <c r="B8" s="182"/>
      <c r="C8" s="37"/>
      <c r="D8" s="182"/>
      <c r="E8" s="37"/>
      <c r="F8" s="182"/>
      <c r="G8" s="37"/>
      <c r="H8" s="138"/>
    </row>
    <row r="9" spans="1:9" x14ac:dyDescent="0.2">
      <c r="A9" s="3" t="s">
        <v>148</v>
      </c>
      <c r="B9" s="183">
        <v>97000</v>
      </c>
      <c r="C9" s="37">
        <f t="shared" si="0"/>
        <v>0.59146341463414631</v>
      </c>
      <c r="D9" s="183">
        <v>0</v>
      </c>
      <c r="E9" s="37">
        <f t="shared" si="1"/>
        <v>0</v>
      </c>
      <c r="F9" s="183">
        <v>0</v>
      </c>
      <c r="G9" s="37">
        <f t="shared" si="2"/>
        <v>0</v>
      </c>
      <c r="H9" s="139"/>
      <c r="I9" s="31" t="s">
        <v>167</v>
      </c>
    </row>
    <row r="10" spans="1:9" x14ac:dyDescent="0.2">
      <c r="A10" s="3" t="s">
        <v>161</v>
      </c>
      <c r="B10" s="183"/>
      <c r="C10" s="37">
        <f t="shared" si="0"/>
        <v>0</v>
      </c>
      <c r="D10" s="183"/>
      <c r="E10" s="37">
        <f t="shared" si="1"/>
        <v>0</v>
      </c>
      <c r="F10" s="183"/>
      <c r="G10" s="37">
        <f t="shared" si="2"/>
        <v>0</v>
      </c>
      <c r="H10" s="139"/>
      <c r="I10" s="31" t="s">
        <v>166</v>
      </c>
    </row>
    <row r="11" spans="1:9" x14ac:dyDescent="0.2">
      <c r="A11" s="3" t="s">
        <v>162</v>
      </c>
      <c r="B11" s="183"/>
      <c r="C11" s="37">
        <f t="shared" si="0"/>
        <v>0</v>
      </c>
      <c r="D11" s="183"/>
      <c r="E11" s="37">
        <f t="shared" si="1"/>
        <v>0</v>
      </c>
      <c r="F11" s="183"/>
      <c r="G11" s="37">
        <f t="shared" si="2"/>
        <v>0</v>
      </c>
      <c r="H11" s="139"/>
      <c r="I11" s="31" t="s">
        <v>164</v>
      </c>
    </row>
    <row r="12" spans="1:9" x14ac:dyDescent="0.2">
      <c r="A12" s="3" t="s">
        <v>176</v>
      </c>
      <c r="B12" s="183"/>
      <c r="C12" s="37">
        <f t="shared" si="0"/>
        <v>0</v>
      </c>
      <c r="D12" s="183"/>
      <c r="E12" s="37">
        <f t="shared" si="1"/>
        <v>0</v>
      </c>
      <c r="F12" s="183"/>
      <c r="G12" s="37">
        <f t="shared" si="2"/>
        <v>0</v>
      </c>
      <c r="H12" s="139"/>
    </row>
    <row r="13" spans="1:9" x14ac:dyDescent="0.2">
      <c r="A13" s="3" t="s">
        <v>163</v>
      </c>
      <c r="B13" s="183">
        <v>500</v>
      </c>
      <c r="C13" s="37">
        <f t="shared" si="0"/>
        <v>3.0487804878048782E-3</v>
      </c>
      <c r="D13" s="183">
        <v>500</v>
      </c>
      <c r="E13" s="37">
        <f t="shared" si="1"/>
        <v>3.0487804878048782E-3</v>
      </c>
      <c r="F13" s="183">
        <v>500</v>
      </c>
      <c r="G13" s="37">
        <f t="shared" si="2"/>
        <v>3.0487804878048782E-3</v>
      </c>
      <c r="H13" s="139"/>
      <c r="I13" s="31" t="s">
        <v>165</v>
      </c>
    </row>
    <row r="14" spans="1:9" x14ac:dyDescent="0.2">
      <c r="A14" s="22" t="s">
        <v>168</v>
      </c>
      <c r="B14" s="184">
        <f>SUM(B9:B13)</f>
        <v>97500</v>
      </c>
      <c r="C14" s="48">
        <f t="shared" si="0"/>
        <v>0.59451219512195119</v>
      </c>
      <c r="D14" s="184">
        <f>SUM(D9:D13)</f>
        <v>500</v>
      </c>
      <c r="E14" s="48">
        <f t="shared" si="1"/>
        <v>3.0487804878048782E-3</v>
      </c>
      <c r="F14" s="184">
        <f>SUM(F9:F13)</f>
        <v>500</v>
      </c>
      <c r="G14" s="48">
        <f t="shared" si="2"/>
        <v>3.0487804878048782E-3</v>
      </c>
      <c r="H14" s="138"/>
    </row>
    <row r="15" spans="1:9" x14ac:dyDescent="0.2">
      <c r="A15" s="22" t="s">
        <v>169</v>
      </c>
      <c r="B15" s="182"/>
      <c r="C15" s="37"/>
      <c r="D15" s="182"/>
      <c r="E15" s="37"/>
      <c r="F15" s="182"/>
      <c r="G15" s="37"/>
      <c r="H15" s="139"/>
    </row>
    <row r="16" spans="1:9" x14ac:dyDescent="0.2">
      <c r="A16" s="3" t="s">
        <v>150</v>
      </c>
      <c r="B16" s="183">
        <v>3000</v>
      </c>
      <c r="C16" s="37">
        <f t="shared" si="0"/>
        <v>1.8292682926829267E-2</v>
      </c>
      <c r="D16" s="183">
        <v>3000</v>
      </c>
      <c r="E16" s="37">
        <f t="shared" si="1"/>
        <v>1.8292682926829267E-2</v>
      </c>
      <c r="F16" s="183">
        <v>3000</v>
      </c>
      <c r="G16" s="37">
        <f t="shared" si="2"/>
        <v>1.8292682926829267E-2</v>
      </c>
      <c r="H16" s="139"/>
    </row>
    <row r="17" spans="1:9" x14ac:dyDescent="0.2">
      <c r="A17" s="3" t="s">
        <v>149</v>
      </c>
      <c r="B17" s="183"/>
      <c r="C17" s="37">
        <f t="shared" si="0"/>
        <v>0</v>
      </c>
      <c r="D17" s="183"/>
      <c r="E17" s="37">
        <f t="shared" si="1"/>
        <v>0</v>
      </c>
      <c r="F17" s="183"/>
      <c r="G17" s="37">
        <f t="shared" si="2"/>
        <v>0</v>
      </c>
      <c r="H17" s="139"/>
    </row>
    <row r="18" spans="1:9" x14ac:dyDescent="0.2">
      <c r="A18" s="3" t="s">
        <v>151</v>
      </c>
      <c r="B18" s="183"/>
      <c r="C18" s="37">
        <f t="shared" si="0"/>
        <v>0</v>
      </c>
      <c r="D18" s="183"/>
      <c r="E18" s="37">
        <f t="shared" si="1"/>
        <v>0</v>
      </c>
      <c r="F18" s="183"/>
      <c r="G18" s="37">
        <f t="shared" si="2"/>
        <v>0</v>
      </c>
      <c r="H18" s="139"/>
    </row>
    <row r="19" spans="1:9" x14ac:dyDescent="0.2">
      <c r="A19" s="3" t="s">
        <v>154</v>
      </c>
      <c r="B19" s="183"/>
      <c r="C19" s="37">
        <f t="shared" si="0"/>
        <v>0</v>
      </c>
      <c r="D19" s="183"/>
      <c r="E19" s="37">
        <f t="shared" si="1"/>
        <v>0</v>
      </c>
      <c r="F19" s="183"/>
      <c r="G19" s="37">
        <f t="shared" si="2"/>
        <v>0</v>
      </c>
      <c r="H19" s="139"/>
    </row>
    <row r="20" spans="1:9" x14ac:dyDescent="0.2">
      <c r="A20" s="3" t="s">
        <v>185</v>
      </c>
      <c r="B20" s="183"/>
      <c r="C20" s="37">
        <f t="shared" si="0"/>
        <v>0</v>
      </c>
      <c r="D20" s="183"/>
      <c r="E20" s="37">
        <f t="shared" si="1"/>
        <v>0</v>
      </c>
      <c r="F20" s="183"/>
      <c r="G20" s="37">
        <f t="shared" si="2"/>
        <v>0</v>
      </c>
      <c r="H20" s="139"/>
    </row>
    <row r="21" spans="1:9" x14ac:dyDescent="0.2">
      <c r="A21" s="3" t="s">
        <v>171</v>
      </c>
      <c r="B21" s="183"/>
      <c r="C21" s="37">
        <f t="shared" si="0"/>
        <v>0</v>
      </c>
      <c r="D21" s="183"/>
      <c r="E21" s="37">
        <f t="shared" si="1"/>
        <v>0</v>
      </c>
      <c r="F21" s="183"/>
      <c r="G21" s="37">
        <f t="shared" si="2"/>
        <v>0</v>
      </c>
      <c r="H21" s="139"/>
      <c r="I21" s="31" t="s">
        <v>177</v>
      </c>
    </row>
    <row r="22" spans="1:9" x14ac:dyDescent="0.2">
      <c r="A22" s="3" t="s">
        <v>172</v>
      </c>
      <c r="B22" s="183"/>
      <c r="C22" s="37">
        <f>+B22/$B$7</f>
        <v>0</v>
      </c>
      <c r="D22" s="183"/>
      <c r="E22" s="37">
        <f t="shared" si="1"/>
        <v>0</v>
      </c>
      <c r="F22" s="183"/>
      <c r="G22" s="37">
        <f t="shared" si="2"/>
        <v>0</v>
      </c>
      <c r="H22" s="139"/>
      <c r="I22" s="31" t="s">
        <v>173</v>
      </c>
    </row>
    <row r="23" spans="1:9" x14ac:dyDescent="0.2">
      <c r="A23" s="3" t="s">
        <v>174</v>
      </c>
      <c r="B23" s="183"/>
      <c r="C23" s="37">
        <f t="shared" si="0"/>
        <v>0</v>
      </c>
      <c r="D23" s="183"/>
      <c r="E23" s="37">
        <f t="shared" si="1"/>
        <v>0</v>
      </c>
      <c r="F23" s="183"/>
      <c r="G23" s="37">
        <f t="shared" si="2"/>
        <v>0</v>
      </c>
      <c r="H23" s="139"/>
    </row>
    <row r="24" spans="1:9" x14ac:dyDescent="0.2">
      <c r="A24" s="3" t="s">
        <v>262</v>
      </c>
      <c r="B24" s="183"/>
      <c r="C24" s="37">
        <f t="shared" si="0"/>
        <v>0</v>
      </c>
      <c r="D24" s="183"/>
      <c r="E24" s="37">
        <f t="shared" si="1"/>
        <v>0</v>
      </c>
      <c r="F24" s="183"/>
      <c r="G24" s="37">
        <f>+F24/$F$7</f>
        <v>0</v>
      </c>
      <c r="H24" s="139"/>
      <c r="I24" s="5"/>
    </row>
    <row r="25" spans="1:9" x14ac:dyDescent="0.2">
      <c r="A25" s="3" t="s">
        <v>155</v>
      </c>
      <c r="B25" s="183"/>
      <c r="C25" s="37">
        <f t="shared" si="0"/>
        <v>0</v>
      </c>
      <c r="D25" s="183"/>
      <c r="E25" s="37">
        <f t="shared" si="1"/>
        <v>0</v>
      </c>
      <c r="F25" s="183"/>
      <c r="G25" s="37">
        <f t="shared" si="2"/>
        <v>0</v>
      </c>
      <c r="H25" s="139"/>
    </row>
    <row r="26" spans="1:9" x14ac:dyDescent="0.2">
      <c r="A26" s="3" t="s">
        <v>156</v>
      </c>
      <c r="B26" s="183"/>
      <c r="C26" s="37">
        <f t="shared" si="0"/>
        <v>0</v>
      </c>
      <c r="D26" s="183"/>
      <c r="E26" s="37">
        <f t="shared" si="1"/>
        <v>0</v>
      </c>
      <c r="F26" s="183"/>
      <c r="G26" s="37">
        <f t="shared" si="2"/>
        <v>0</v>
      </c>
      <c r="H26" s="139"/>
    </row>
    <row r="27" spans="1:9" x14ac:dyDescent="0.2">
      <c r="A27" s="3" t="s">
        <v>157</v>
      </c>
      <c r="B27" s="183">
        <v>1300</v>
      </c>
      <c r="C27" s="37">
        <f t="shared" si="0"/>
        <v>7.926829268292683E-3</v>
      </c>
      <c r="D27" s="183">
        <v>1300</v>
      </c>
      <c r="E27" s="37">
        <f t="shared" si="1"/>
        <v>7.926829268292683E-3</v>
      </c>
      <c r="F27" s="183">
        <v>1300</v>
      </c>
      <c r="G27" s="37">
        <f t="shared" si="2"/>
        <v>7.926829268292683E-3</v>
      </c>
      <c r="H27" s="139"/>
      <c r="I27" s="31" t="s">
        <v>175</v>
      </c>
    </row>
    <row r="28" spans="1:9" x14ac:dyDescent="0.2">
      <c r="A28" s="3" t="s">
        <v>186</v>
      </c>
      <c r="B28" s="183"/>
      <c r="C28" s="37">
        <f t="shared" si="0"/>
        <v>0</v>
      </c>
      <c r="D28" s="183"/>
      <c r="E28" s="37">
        <f t="shared" si="1"/>
        <v>0</v>
      </c>
      <c r="F28" s="183"/>
      <c r="G28" s="37">
        <f t="shared" si="2"/>
        <v>0</v>
      </c>
      <c r="H28" s="139"/>
    </row>
    <row r="29" spans="1:9" x14ac:dyDescent="0.2">
      <c r="A29" s="3" t="s">
        <v>183</v>
      </c>
      <c r="B29" s="183"/>
      <c r="C29" s="37">
        <f t="shared" si="0"/>
        <v>0</v>
      </c>
      <c r="D29" s="183"/>
      <c r="E29" s="37">
        <f t="shared" si="1"/>
        <v>0</v>
      </c>
      <c r="F29" s="183"/>
      <c r="G29" s="37">
        <f t="shared" si="2"/>
        <v>0</v>
      </c>
      <c r="H29" s="139"/>
    </row>
    <row r="30" spans="1:9" x14ac:dyDescent="0.2">
      <c r="A30" s="20" t="s">
        <v>191</v>
      </c>
      <c r="B30" s="183"/>
      <c r="C30" s="37">
        <f t="shared" si="0"/>
        <v>0</v>
      </c>
      <c r="D30" s="183"/>
      <c r="E30" s="37">
        <f t="shared" si="1"/>
        <v>0</v>
      </c>
      <c r="F30" s="183"/>
      <c r="G30" s="37">
        <f t="shared" si="2"/>
        <v>0</v>
      </c>
      <c r="H30" s="139"/>
    </row>
    <row r="31" spans="1:9" x14ac:dyDescent="0.2">
      <c r="A31" s="22" t="s">
        <v>184</v>
      </c>
      <c r="B31" s="184">
        <f>SUM(B16:B30)</f>
        <v>4300</v>
      </c>
      <c r="C31" s="48">
        <f t="shared" si="0"/>
        <v>2.621951219512195E-2</v>
      </c>
      <c r="D31" s="184">
        <f>SUM(D16:D30)</f>
        <v>4300</v>
      </c>
      <c r="E31" s="48">
        <f t="shared" si="1"/>
        <v>2.621951219512195E-2</v>
      </c>
      <c r="F31" s="184">
        <f>SUM(F16:F30)</f>
        <v>4300</v>
      </c>
      <c r="G31" s="48">
        <f t="shared" si="2"/>
        <v>2.621951219512195E-2</v>
      </c>
      <c r="H31" s="138"/>
    </row>
    <row r="32" spans="1:9" ht="13.5" x14ac:dyDescent="0.2">
      <c r="A32" s="3" t="s">
        <v>152</v>
      </c>
      <c r="B32" s="182">
        <f>+'risorse umane'!D8</f>
        <v>0</v>
      </c>
      <c r="C32" s="37">
        <f t="shared" si="0"/>
        <v>0</v>
      </c>
      <c r="D32" s="182">
        <f>+'risorse umane'!D17</f>
        <v>0</v>
      </c>
      <c r="E32" s="37">
        <f t="shared" si="1"/>
        <v>0</v>
      </c>
      <c r="F32" s="182">
        <f>+'risorse umane'!D26</f>
        <v>0</v>
      </c>
      <c r="G32" s="37">
        <f t="shared" si="2"/>
        <v>0</v>
      </c>
      <c r="H32" s="141" t="s">
        <v>223</v>
      </c>
    </row>
    <row r="33" spans="1:8" ht="13.5" x14ac:dyDescent="0.2">
      <c r="A33" s="3" t="s">
        <v>40</v>
      </c>
      <c r="B33" s="182">
        <f>+ammort!G25/12*C1</f>
        <v>600</v>
      </c>
      <c r="C33" s="37">
        <f>+B33/$B$7</f>
        <v>3.6585365853658539E-3</v>
      </c>
      <c r="D33" s="182">
        <f>+ammort!H25/12*E1</f>
        <v>0</v>
      </c>
      <c r="E33" s="37">
        <f t="shared" si="1"/>
        <v>0</v>
      </c>
      <c r="F33" s="182">
        <f>+ammort!I25/12*G1</f>
        <v>0</v>
      </c>
      <c r="G33" s="37">
        <f t="shared" si="2"/>
        <v>0</v>
      </c>
      <c r="H33" s="141" t="s">
        <v>223</v>
      </c>
    </row>
    <row r="34" spans="1:8" x14ac:dyDescent="0.2">
      <c r="A34" s="22" t="s">
        <v>193</v>
      </c>
      <c r="B34" s="182"/>
      <c r="C34" s="37"/>
      <c r="D34" s="182"/>
      <c r="E34" s="37"/>
      <c r="F34" s="182"/>
      <c r="G34" s="37"/>
      <c r="H34" s="139"/>
    </row>
    <row r="35" spans="1:8" x14ac:dyDescent="0.2">
      <c r="A35" s="3" t="s">
        <v>170</v>
      </c>
      <c r="B35" s="183">
        <v>12000</v>
      </c>
      <c r="C35" s="37">
        <f t="shared" si="0"/>
        <v>7.3170731707317069E-2</v>
      </c>
      <c r="D35" s="183">
        <v>12000</v>
      </c>
      <c r="E35" s="37">
        <f t="shared" si="1"/>
        <v>7.3170731707317069E-2</v>
      </c>
      <c r="F35" s="183">
        <v>12000</v>
      </c>
      <c r="G35" s="37">
        <f>+F35/$F$7</f>
        <v>7.3170731707317069E-2</v>
      </c>
      <c r="H35" s="139"/>
    </row>
    <row r="36" spans="1:8" x14ac:dyDescent="0.2">
      <c r="A36" s="3" t="s">
        <v>153</v>
      </c>
      <c r="B36" s="183"/>
      <c r="C36" s="37">
        <f t="shared" si="0"/>
        <v>0</v>
      </c>
      <c r="D36" s="183"/>
      <c r="E36" s="37">
        <f t="shared" si="1"/>
        <v>0</v>
      </c>
      <c r="F36" s="183"/>
      <c r="G36" s="37">
        <f t="shared" si="2"/>
        <v>0</v>
      </c>
      <c r="H36" s="139"/>
    </row>
    <row r="37" spans="1:8" x14ac:dyDescent="0.2">
      <c r="A37" s="3" t="s">
        <v>194</v>
      </c>
      <c r="B37" s="183"/>
      <c r="C37" s="37">
        <f t="shared" si="0"/>
        <v>0</v>
      </c>
      <c r="D37" s="183"/>
      <c r="E37" s="37">
        <f t="shared" si="1"/>
        <v>0</v>
      </c>
      <c r="F37" s="183"/>
      <c r="G37" s="37">
        <f t="shared" si="2"/>
        <v>0</v>
      </c>
      <c r="H37" s="139"/>
    </row>
    <row r="38" spans="1:8" x14ac:dyDescent="0.2">
      <c r="A38" s="22" t="s">
        <v>195</v>
      </c>
      <c r="B38" s="184">
        <f>SUM(B35:B37)</f>
        <v>12000</v>
      </c>
      <c r="C38" s="48">
        <f t="shared" si="0"/>
        <v>7.3170731707317069E-2</v>
      </c>
      <c r="D38" s="184">
        <f>SUM(D35:D37)</f>
        <v>12000</v>
      </c>
      <c r="E38" s="48">
        <f t="shared" si="1"/>
        <v>7.3170731707317069E-2</v>
      </c>
      <c r="F38" s="184">
        <f>SUM(F35:F37)</f>
        <v>12000</v>
      </c>
      <c r="G38" s="48">
        <f t="shared" si="2"/>
        <v>7.3170731707317069E-2</v>
      </c>
      <c r="H38" s="138"/>
    </row>
    <row r="39" spans="1:8" x14ac:dyDescent="0.2">
      <c r="A39" s="22" t="s">
        <v>41</v>
      </c>
      <c r="B39" s="182"/>
      <c r="C39" s="37"/>
      <c r="D39" s="182"/>
      <c r="E39" s="37"/>
      <c r="F39" s="182"/>
      <c r="G39" s="37"/>
      <c r="H39" s="139"/>
    </row>
    <row r="40" spans="1:8" x14ac:dyDescent="0.2">
      <c r="A40" s="3" t="s">
        <v>187</v>
      </c>
      <c r="B40" s="183"/>
      <c r="C40" s="37">
        <f t="shared" si="0"/>
        <v>0</v>
      </c>
      <c r="D40" s="183"/>
      <c r="E40" s="37">
        <f t="shared" si="1"/>
        <v>0</v>
      </c>
      <c r="F40" s="183"/>
      <c r="G40" s="37">
        <f t="shared" si="2"/>
        <v>0</v>
      </c>
      <c r="H40" s="139"/>
    </row>
    <row r="41" spans="1:8" x14ac:dyDescent="0.2">
      <c r="A41" s="3" t="s">
        <v>188</v>
      </c>
      <c r="B41" s="183"/>
      <c r="C41" s="37">
        <f t="shared" si="0"/>
        <v>0</v>
      </c>
      <c r="D41" s="183"/>
      <c r="E41" s="37">
        <f t="shared" si="1"/>
        <v>0</v>
      </c>
      <c r="F41" s="183"/>
      <c r="G41" s="37">
        <f t="shared" si="2"/>
        <v>0</v>
      </c>
      <c r="H41" s="139"/>
    </row>
    <row r="42" spans="1:8" x14ac:dyDescent="0.2">
      <c r="A42" s="3" t="s">
        <v>179</v>
      </c>
      <c r="B42" s="183"/>
      <c r="C42" s="37">
        <f>+B42/$B$7</f>
        <v>0</v>
      </c>
      <c r="D42" s="183"/>
      <c r="E42" s="37">
        <f t="shared" si="1"/>
        <v>0</v>
      </c>
      <c r="F42" s="183"/>
      <c r="G42" s="37">
        <f t="shared" si="2"/>
        <v>0</v>
      </c>
      <c r="H42" s="139"/>
    </row>
    <row r="43" spans="1:8" x14ac:dyDescent="0.2">
      <c r="A43" s="3" t="s">
        <v>178</v>
      </c>
      <c r="B43" s="183"/>
      <c r="C43" s="37">
        <f t="shared" si="0"/>
        <v>0</v>
      </c>
      <c r="D43" s="183"/>
      <c r="E43" s="37">
        <f t="shared" si="1"/>
        <v>0</v>
      </c>
      <c r="F43" s="183"/>
      <c r="G43" s="37">
        <f t="shared" si="2"/>
        <v>0</v>
      </c>
      <c r="H43" s="139"/>
    </row>
    <row r="44" spans="1:8" x14ac:dyDescent="0.2">
      <c r="A44" s="3" t="s">
        <v>180</v>
      </c>
      <c r="B44" s="183"/>
      <c r="C44" s="37">
        <f t="shared" si="0"/>
        <v>0</v>
      </c>
      <c r="D44" s="183"/>
      <c r="E44" s="37">
        <f t="shared" si="1"/>
        <v>0</v>
      </c>
      <c r="F44" s="183"/>
      <c r="G44" s="37">
        <f t="shared" si="2"/>
        <v>0</v>
      </c>
      <c r="H44" s="139"/>
    </row>
    <row r="45" spans="1:8" x14ac:dyDescent="0.2">
      <c r="A45" s="3" t="s">
        <v>181</v>
      </c>
      <c r="B45" s="183"/>
      <c r="C45" s="37">
        <f t="shared" si="0"/>
        <v>0</v>
      </c>
      <c r="D45" s="183"/>
      <c r="E45" s="37">
        <f t="shared" si="1"/>
        <v>0</v>
      </c>
      <c r="F45" s="183"/>
      <c r="G45" s="37">
        <f t="shared" si="2"/>
        <v>0</v>
      </c>
      <c r="H45" s="139"/>
    </row>
    <row r="46" spans="1:8" x14ac:dyDescent="0.2">
      <c r="A46" s="3" t="s">
        <v>264</v>
      </c>
      <c r="B46" s="183"/>
      <c r="C46" s="37">
        <f t="shared" si="0"/>
        <v>0</v>
      </c>
      <c r="D46" s="183"/>
      <c r="E46" s="37">
        <f t="shared" si="1"/>
        <v>0</v>
      </c>
      <c r="F46" s="183"/>
      <c r="G46" s="37">
        <f t="shared" si="2"/>
        <v>0</v>
      </c>
      <c r="H46" s="139"/>
    </row>
    <row r="47" spans="1:8" x14ac:dyDescent="0.2">
      <c r="A47" s="3" t="s">
        <v>182</v>
      </c>
      <c r="B47" s="183"/>
      <c r="C47" s="37">
        <f t="shared" si="0"/>
        <v>0</v>
      </c>
      <c r="D47" s="183"/>
      <c r="E47" s="37">
        <f>+D47/$D$7</f>
        <v>0</v>
      </c>
      <c r="F47" s="183"/>
      <c r="G47" s="37">
        <f t="shared" si="2"/>
        <v>0</v>
      </c>
      <c r="H47" s="139"/>
    </row>
    <row r="48" spans="1:8" x14ac:dyDescent="0.2">
      <c r="A48" s="3" t="s">
        <v>189</v>
      </c>
      <c r="B48" s="183"/>
      <c r="C48" s="37">
        <f t="shared" si="0"/>
        <v>0</v>
      </c>
      <c r="D48" s="183"/>
      <c r="E48" s="37">
        <f t="shared" si="1"/>
        <v>0</v>
      </c>
      <c r="F48" s="183"/>
      <c r="G48" s="37">
        <f>+F48/$F$7</f>
        <v>0</v>
      </c>
      <c r="H48" s="139"/>
    </row>
    <row r="49" spans="1:12" x14ac:dyDescent="0.2">
      <c r="A49" s="3" t="s">
        <v>190</v>
      </c>
      <c r="B49" s="183"/>
      <c r="C49" s="37">
        <f t="shared" si="0"/>
        <v>0</v>
      </c>
      <c r="D49" s="183"/>
      <c r="E49" s="37">
        <f t="shared" si="1"/>
        <v>0</v>
      </c>
      <c r="F49" s="183"/>
      <c r="G49" s="37">
        <f t="shared" si="2"/>
        <v>0</v>
      </c>
      <c r="H49" s="139"/>
    </row>
    <row r="50" spans="1:12" x14ac:dyDescent="0.2">
      <c r="A50" s="22" t="s">
        <v>192</v>
      </c>
      <c r="B50" s="184">
        <f>SUM(B40:B49)</f>
        <v>0</v>
      </c>
      <c r="C50" s="48">
        <f t="shared" si="0"/>
        <v>0</v>
      </c>
      <c r="D50" s="184">
        <f>SUM(D40:D49)</f>
        <v>0</v>
      </c>
      <c r="E50" s="48">
        <f t="shared" si="1"/>
        <v>0</v>
      </c>
      <c r="F50" s="184">
        <f>SUM(F40:F49)</f>
        <v>0</v>
      </c>
      <c r="G50" s="48">
        <f t="shared" si="2"/>
        <v>0</v>
      </c>
      <c r="H50" s="138"/>
    </row>
    <row r="51" spans="1:12" x14ac:dyDescent="0.2">
      <c r="A51" s="22" t="s">
        <v>131</v>
      </c>
      <c r="B51" s="184">
        <f>+B14+B31+B32+B33+B38+B50</f>
        <v>114400</v>
      </c>
      <c r="C51" s="48">
        <f t="shared" si="0"/>
        <v>0.69756097560975605</v>
      </c>
      <c r="D51" s="184">
        <f>+D14+D31+D32+D33+D38+D50</f>
        <v>16800</v>
      </c>
      <c r="E51" s="48">
        <f t="shared" si="1"/>
        <v>0.1024390243902439</v>
      </c>
      <c r="F51" s="184">
        <f>+F14+F31+F32+F33+F38+F50</f>
        <v>16800</v>
      </c>
      <c r="G51" s="48">
        <f t="shared" si="2"/>
        <v>0.1024390243902439</v>
      </c>
      <c r="H51" s="138"/>
    </row>
    <row r="52" spans="1:12" x14ac:dyDescent="0.2">
      <c r="A52" s="23" t="s">
        <v>130</v>
      </c>
      <c r="B52" s="185">
        <f>+B7-B51</f>
        <v>49600</v>
      </c>
      <c r="C52" s="49">
        <f>+B52/$B$7</f>
        <v>0.30243902439024389</v>
      </c>
      <c r="D52" s="185">
        <f>+D7-D51</f>
        <v>147200</v>
      </c>
      <c r="E52" s="49">
        <f t="shared" si="1"/>
        <v>0.89756097560975612</v>
      </c>
      <c r="F52" s="185">
        <f>+F7-F51</f>
        <v>147200</v>
      </c>
      <c r="G52" s="49">
        <f t="shared" si="2"/>
        <v>0.89756097560975612</v>
      </c>
      <c r="H52" s="138"/>
    </row>
    <row r="53" spans="1:12" ht="13.5" x14ac:dyDescent="0.2">
      <c r="A53" s="3" t="s">
        <v>158</v>
      </c>
      <c r="B53" s="182">
        <f>('fonti copertura investim'!B23*'fonti copertura investim'!B22+'fonti copertura investim'!D23*'fonti copertura investim'!D22)/12*C1</f>
        <v>1750</v>
      </c>
      <c r="C53" s="37">
        <f t="shared" si="0"/>
        <v>1.0670731707317074E-2</v>
      </c>
      <c r="D53" s="182">
        <f>+'fonti copertura investim'!B35*'fonti copertura investim'!B23+'fonti copertura investim'!D35*'fonti copertura investim'!D23+'fonti copertura investim'!B39*'fonti copertura investim'!B40/'fonti copertura investim'!B41*'fonti copertura investim'!B44</f>
        <v>3923.2816286743655</v>
      </c>
      <c r="E53" s="37">
        <f t="shared" si="1"/>
        <v>2.3922448955331497E-2</v>
      </c>
      <c r="F53" s="182">
        <f>+'fonti copertura investim'!B37*'fonti copertura investim'!B23+'fonti copertura investim'!D37*'fonti copertura investim'!D23+'fonti copertura investim'!B49*'fonti copertura investim'!B40+'fonti copertura investim'!B53*'fonti copertura investim'!B54/'fonti copertura investim'!B55*'fonti copertura investim'!B58</f>
        <v>1461.9069316138566</v>
      </c>
      <c r="G53" s="37">
        <f t="shared" si="2"/>
        <v>8.9140666561820531E-3</v>
      </c>
      <c r="H53" s="141" t="s">
        <v>223</v>
      </c>
    </row>
    <row r="54" spans="1:12" ht="13.5" x14ac:dyDescent="0.2">
      <c r="A54" s="3" t="s">
        <v>159</v>
      </c>
      <c r="B54" s="183"/>
      <c r="C54" s="37">
        <f t="shared" si="0"/>
        <v>0</v>
      </c>
      <c r="D54" s="183"/>
      <c r="E54" s="37">
        <f t="shared" si="1"/>
        <v>0</v>
      </c>
      <c r="F54" s="183"/>
      <c r="G54" s="37">
        <f t="shared" si="2"/>
        <v>0</v>
      </c>
      <c r="H54" s="141"/>
    </row>
    <row r="55" spans="1:12" x14ac:dyDescent="0.2">
      <c r="A55" s="3" t="s">
        <v>160</v>
      </c>
      <c r="B55" s="183"/>
      <c r="C55" s="37">
        <f t="shared" si="0"/>
        <v>0</v>
      </c>
      <c r="D55" s="183"/>
      <c r="E55" s="37">
        <f t="shared" si="1"/>
        <v>0</v>
      </c>
      <c r="F55" s="183"/>
      <c r="G55" s="37">
        <f t="shared" si="2"/>
        <v>0</v>
      </c>
      <c r="H55" s="139"/>
      <c r="J55" s="14"/>
    </row>
    <row r="56" spans="1:12" x14ac:dyDescent="0.2">
      <c r="A56" s="22" t="s">
        <v>129</v>
      </c>
      <c r="B56" s="184">
        <f>+B55-B53-B54</f>
        <v>-1750</v>
      </c>
      <c r="C56" s="48">
        <f t="shared" si="0"/>
        <v>-1.0670731707317074E-2</v>
      </c>
      <c r="D56" s="184">
        <f>+D55-D53-D54</f>
        <v>-3923.2816286743655</v>
      </c>
      <c r="E56" s="48">
        <f>+D56/$D$7</f>
        <v>-2.3922448955331497E-2</v>
      </c>
      <c r="F56" s="184">
        <f>+F55-F53-F54</f>
        <v>-1461.9069316138566</v>
      </c>
      <c r="G56" s="48">
        <f t="shared" si="2"/>
        <v>-8.9140666561820531E-3</v>
      </c>
      <c r="H56" s="138"/>
      <c r="J56" s="14"/>
      <c r="K56" s="14"/>
      <c r="L56" s="14"/>
    </row>
    <row r="57" spans="1:12" x14ac:dyDescent="0.2">
      <c r="A57" s="23" t="s">
        <v>128</v>
      </c>
      <c r="B57" s="185">
        <f>+B52+B56</f>
        <v>47850</v>
      </c>
      <c r="C57" s="49">
        <f t="shared" si="0"/>
        <v>0.29176829268292681</v>
      </c>
      <c r="D57" s="185">
        <f>+D52+D56</f>
        <v>143276.71837132564</v>
      </c>
      <c r="E57" s="49">
        <f t="shared" si="1"/>
        <v>0.87363852665442465</v>
      </c>
      <c r="F57" s="185">
        <f>+F52+F56</f>
        <v>145738.09306838614</v>
      </c>
      <c r="G57" s="49">
        <f t="shared" si="2"/>
        <v>0.88864690895357401</v>
      </c>
      <c r="H57" s="138"/>
      <c r="K57" s="14"/>
      <c r="L57" s="14"/>
    </row>
    <row r="58" spans="1:12" ht="13.5" x14ac:dyDescent="0.2">
      <c r="A58" s="3" t="s">
        <v>196</v>
      </c>
      <c r="B58" s="186">
        <f>+B57*0.45</f>
        <v>21532.5</v>
      </c>
      <c r="C58" s="50">
        <f t="shared" si="0"/>
        <v>0.13129573170731706</v>
      </c>
      <c r="D58" s="186">
        <f>+D57*0.45</f>
        <v>64474.523267096542</v>
      </c>
      <c r="E58" s="50">
        <f t="shared" si="1"/>
        <v>0.3931373369944911</v>
      </c>
      <c r="F58" s="186">
        <f>+F57*0.45</f>
        <v>65582.141880773765</v>
      </c>
      <c r="G58" s="50">
        <f t="shared" si="2"/>
        <v>0.39989110902910829</v>
      </c>
      <c r="H58" s="141" t="s">
        <v>223</v>
      </c>
      <c r="K58" s="14"/>
    </row>
    <row r="59" spans="1:12" x14ac:dyDescent="0.2">
      <c r="A59" s="23" t="s">
        <v>197</v>
      </c>
      <c r="B59" s="185">
        <f>+B57-B58</f>
        <v>26317.5</v>
      </c>
      <c r="C59" s="49">
        <f t="shared" si="0"/>
        <v>0.16047256097560975</v>
      </c>
      <c r="D59" s="185">
        <f>+D57-D58</f>
        <v>78802.195104229089</v>
      </c>
      <c r="E59" s="49">
        <f t="shared" si="1"/>
        <v>0.48050118965993349</v>
      </c>
      <c r="F59" s="185">
        <f>+F57-F58</f>
        <v>80155.951187612372</v>
      </c>
      <c r="G59" s="49">
        <f t="shared" si="2"/>
        <v>0.48875579992446566</v>
      </c>
      <c r="H59" s="138"/>
      <c r="J59" s="14"/>
      <c r="K59" s="14"/>
    </row>
    <row r="60" spans="1:12" x14ac:dyDescent="0.2">
      <c r="A60" s="3" t="s">
        <v>229</v>
      </c>
      <c r="B60" s="183"/>
      <c r="C60" s="37">
        <f t="shared" si="0"/>
        <v>0</v>
      </c>
      <c r="D60" s="183"/>
      <c r="E60" s="37">
        <f t="shared" si="1"/>
        <v>0</v>
      </c>
      <c r="F60" s="183"/>
      <c r="G60" s="37">
        <f t="shared" si="2"/>
        <v>0</v>
      </c>
      <c r="H60" s="139"/>
      <c r="K60" s="14"/>
    </row>
    <row r="61" spans="1:12" x14ac:dyDescent="0.2">
      <c r="A61" s="23" t="s">
        <v>198</v>
      </c>
      <c r="B61" s="185">
        <f>+B59-B60</f>
        <v>26317.5</v>
      </c>
      <c r="C61" s="49">
        <f t="shared" si="0"/>
        <v>0.16047256097560975</v>
      </c>
      <c r="D61" s="185">
        <f>+D59-D60</f>
        <v>78802.195104229089</v>
      </c>
      <c r="E61" s="49">
        <f t="shared" si="1"/>
        <v>0.48050118965993349</v>
      </c>
      <c r="F61" s="185">
        <f>+F59-F60</f>
        <v>80155.951187612372</v>
      </c>
      <c r="G61" s="49">
        <f t="shared" si="2"/>
        <v>0.48875579992446566</v>
      </c>
      <c r="H61" s="138"/>
      <c r="J61" s="14"/>
    </row>
    <row r="63" spans="1:12" x14ac:dyDescent="0.2">
      <c r="A63" s="13"/>
    </row>
  </sheetData>
  <mergeCells count="3">
    <mergeCell ref="B3:C3"/>
    <mergeCell ref="D3:E3"/>
    <mergeCell ref="F3:G3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98" orientation="portrait" horizontalDpi="1200" verticalDpi="1200" r:id="rId1"/>
  <headerFooter>
    <oddHeader>&amp;CCONTO ECONOMICO TRIENNALE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O46"/>
  <sheetViews>
    <sheetView topLeftCell="F22" workbookViewId="0">
      <selection activeCell="H32" sqref="H32"/>
    </sheetView>
  </sheetViews>
  <sheetFormatPr defaultRowHeight="12.75" x14ac:dyDescent="0.2"/>
  <cols>
    <col min="1" max="1" width="42.28515625" bestFit="1" customWidth="1"/>
    <col min="2" max="2" width="10.140625" bestFit="1" customWidth="1"/>
    <col min="3" max="9" width="10.85546875" bestFit="1" customWidth="1"/>
    <col min="10" max="13" width="11.85546875" bestFit="1" customWidth="1"/>
    <col min="14" max="14" width="18.7109375" bestFit="1" customWidth="1"/>
    <col min="15" max="15" width="20.5703125" bestFit="1" customWidth="1"/>
  </cols>
  <sheetData>
    <row r="1" spans="1:15" x14ac:dyDescent="0.2">
      <c r="A1" s="215" t="s">
        <v>263</v>
      </c>
      <c r="B1" s="215">
        <v>0.05</v>
      </c>
      <c r="C1" s="215">
        <v>0.08</v>
      </c>
      <c r="D1" s="215">
        <v>0.1</v>
      </c>
      <c r="E1" s="215">
        <v>0.08</v>
      </c>
      <c r="F1" s="215">
        <v>0.1</v>
      </c>
      <c r="G1" s="215">
        <v>0.1</v>
      </c>
      <c r="H1" s="215">
        <v>0.12</v>
      </c>
      <c r="I1" s="215">
        <v>0.05</v>
      </c>
      <c r="J1" s="215">
        <v>0.08</v>
      </c>
      <c r="K1" s="215">
        <v>0.08</v>
      </c>
      <c r="L1" s="215">
        <v>0.1</v>
      </c>
      <c r="M1" s="215">
        <v>0.06</v>
      </c>
      <c r="N1" s="216">
        <f>SUM(B1:M1)</f>
        <v>1</v>
      </c>
    </row>
    <row r="2" spans="1:15" x14ac:dyDescent="0.2">
      <c r="B2" s="199" t="s">
        <v>244</v>
      </c>
      <c r="C2" s="199" t="s">
        <v>245</v>
      </c>
      <c r="D2" s="199" t="s">
        <v>246</v>
      </c>
      <c r="E2" s="199" t="s">
        <v>247</v>
      </c>
      <c r="F2" s="199" t="s">
        <v>248</v>
      </c>
      <c r="G2" s="199" t="s">
        <v>249</v>
      </c>
      <c r="H2" s="199" t="s">
        <v>250</v>
      </c>
      <c r="I2" s="199" t="s">
        <v>251</v>
      </c>
      <c r="J2" s="199" t="s">
        <v>252</v>
      </c>
      <c r="K2" s="199" t="s">
        <v>253</v>
      </c>
      <c r="L2" s="199" t="s">
        <v>254</v>
      </c>
      <c r="M2" s="199" t="s">
        <v>255</v>
      </c>
      <c r="O2" s="199" t="s">
        <v>265</v>
      </c>
    </row>
    <row r="3" spans="1:15" x14ac:dyDescent="0.2">
      <c r="A3" s="218" t="s">
        <v>256</v>
      </c>
      <c r="B3" s="225">
        <f>+'ce triennale'!$B$5*'Flussi fin'!B1*(1+$O$3)</f>
        <v>9430</v>
      </c>
      <c r="C3" s="225">
        <f>+'ce triennale'!$B$5*'Flussi fin'!C1*(1+$O$3)</f>
        <v>15087.999999999998</v>
      </c>
      <c r="D3" s="225">
        <f>+'ce triennale'!$B$5*'Flussi fin'!D1*(1+$O$3)</f>
        <v>18860</v>
      </c>
      <c r="E3" s="225">
        <f>+'ce triennale'!$B$5*'Flussi fin'!E1*(1+$O$3)</f>
        <v>15087.999999999998</v>
      </c>
      <c r="F3" s="225">
        <f>+'ce triennale'!$B$5*'Flussi fin'!F1*(1+$O$3)</f>
        <v>18860</v>
      </c>
      <c r="G3" s="225">
        <f>+'ce triennale'!$B$5*'Flussi fin'!G1*(1+$O$3)</f>
        <v>18860</v>
      </c>
      <c r="H3" s="225">
        <f>+'ce triennale'!$B$5*'Flussi fin'!H1*(1+$O$3)</f>
        <v>22632</v>
      </c>
      <c r="I3" s="225">
        <f>+'ce triennale'!$B$5*'Flussi fin'!I1*(1+$O$3)</f>
        <v>9430</v>
      </c>
      <c r="J3" s="225">
        <f>+'ce triennale'!$B$5*'Flussi fin'!J1*(1+$O$3)</f>
        <v>15087.999999999998</v>
      </c>
      <c r="K3" s="225">
        <f>+'ce triennale'!$B$5*'Flussi fin'!K1*(1+$O$3)</f>
        <v>15087.999999999998</v>
      </c>
      <c r="L3" s="225">
        <f>+'ce triennale'!$B$5*'Flussi fin'!L1*(1+$O$3)</f>
        <v>18860</v>
      </c>
      <c r="M3" s="225">
        <f>+'ce triennale'!$B$5*'Flussi fin'!M1*(1+$O$3)</f>
        <v>11316</v>
      </c>
      <c r="O3" s="215">
        <v>0.15</v>
      </c>
    </row>
    <row r="4" spans="1:15" x14ac:dyDescent="0.2">
      <c r="A4" s="218" t="s">
        <v>257</v>
      </c>
      <c r="B4" s="225"/>
      <c r="C4" s="225"/>
      <c r="D4" s="225"/>
      <c r="E4" s="225"/>
      <c r="F4" s="225"/>
      <c r="G4" s="225"/>
      <c r="H4" s="225"/>
      <c r="I4" s="225"/>
      <c r="J4" s="225"/>
      <c r="K4" s="225"/>
      <c r="L4" s="225"/>
      <c r="M4" s="225"/>
    </row>
    <row r="5" spans="1:15" x14ac:dyDescent="0.2">
      <c r="A5" s="219" t="s">
        <v>258</v>
      </c>
      <c r="B5" s="226">
        <f>SUM(B3:B4)</f>
        <v>9430</v>
      </c>
      <c r="C5" s="226">
        <f t="shared" ref="C5:M5" si="0">SUM(C3:C4)</f>
        <v>15087.999999999998</v>
      </c>
      <c r="D5" s="226">
        <f t="shared" si="0"/>
        <v>18860</v>
      </c>
      <c r="E5" s="226">
        <f t="shared" si="0"/>
        <v>15087.999999999998</v>
      </c>
      <c r="F5" s="226">
        <f t="shared" si="0"/>
        <v>18860</v>
      </c>
      <c r="G5" s="226">
        <f t="shared" si="0"/>
        <v>18860</v>
      </c>
      <c r="H5" s="226">
        <f t="shared" si="0"/>
        <v>22632</v>
      </c>
      <c r="I5" s="226">
        <f t="shared" si="0"/>
        <v>9430</v>
      </c>
      <c r="J5" s="226">
        <f t="shared" si="0"/>
        <v>15087.999999999998</v>
      </c>
      <c r="K5" s="226">
        <f t="shared" si="0"/>
        <v>15087.999999999998</v>
      </c>
      <c r="L5" s="226">
        <f t="shared" si="0"/>
        <v>18860</v>
      </c>
      <c r="M5" s="226">
        <f t="shared" si="0"/>
        <v>11316</v>
      </c>
      <c r="O5" s="199" t="s">
        <v>266</v>
      </c>
    </row>
    <row r="6" spans="1:15" x14ac:dyDescent="0.2">
      <c r="A6" s="220" t="s">
        <v>259</v>
      </c>
      <c r="B6" s="225"/>
      <c r="C6" s="225"/>
      <c r="D6" s="225"/>
      <c r="E6" s="225"/>
      <c r="F6" s="225"/>
      <c r="G6" s="225"/>
      <c r="H6" s="225"/>
      <c r="I6" s="225"/>
      <c r="J6" s="225"/>
      <c r="K6" s="225"/>
      <c r="L6" s="225"/>
      <c r="M6" s="225"/>
      <c r="O6" s="215">
        <v>0.22</v>
      </c>
    </row>
    <row r="7" spans="1:15" x14ac:dyDescent="0.2">
      <c r="A7" s="218" t="str">
        <f>+'ce triennale'!A9</f>
        <v>Acquisti mat. Prime</v>
      </c>
      <c r="B7" s="225">
        <f>+'ce triennale'!$B$9*'Flussi fin'!B1*(1+'Flussi fin'!$O$6)</f>
        <v>5917</v>
      </c>
      <c r="C7" s="225">
        <f>+'ce triennale'!$B$9*'Flussi fin'!C1*(1+'Flussi fin'!$O$6)</f>
        <v>9467.1999999999989</v>
      </c>
      <c r="D7" s="225">
        <f>+'ce triennale'!$B$9*'Flussi fin'!D1*(1+'Flussi fin'!$O$6)</f>
        <v>11834</v>
      </c>
      <c r="E7" s="225">
        <f>+'ce triennale'!$B$9*'Flussi fin'!E1*(1+'Flussi fin'!$O$6)</f>
        <v>9467.1999999999989</v>
      </c>
      <c r="F7" s="225">
        <f>+'ce triennale'!$B$9*'Flussi fin'!F1*(1+'Flussi fin'!$O$6)</f>
        <v>11834</v>
      </c>
      <c r="G7" s="225">
        <f>+'ce triennale'!$B$9*'Flussi fin'!G1*(1+'Flussi fin'!$O$6)</f>
        <v>11834</v>
      </c>
      <c r="H7" s="225">
        <f>+'ce triennale'!$B$9*'Flussi fin'!H1*(1+'Flussi fin'!$O$6)</f>
        <v>14200.8</v>
      </c>
      <c r="I7" s="225">
        <f>+'ce triennale'!$B$9*'Flussi fin'!I1*(1+'Flussi fin'!$O$6)</f>
        <v>5917</v>
      </c>
      <c r="J7" s="225">
        <f>+'ce triennale'!$B$9*'Flussi fin'!J1*(1+'Flussi fin'!$O$6)</f>
        <v>9467.1999999999989</v>
      </c>
      <c r="K7" s="225">
        <f>+'ce triennale'!$B$9*'Flussi fin'!K1*(1+'Flussi fin'!$O$6)</f>
        <v>9467.1999999999989</v>
      </c>
      <c r="L7" s="225">
        <f>+'ce triennale'!$B$9*'Flussi fin'!L1*(1+'Flussi fin'!$O$6)</f>
        <v>11834</v>
      </c>
      <c r="M7" s="225">
        <f>+'ce triennale'!$B$9*'Flussi fin'!M1*(1+'Flussi fin'!$O$6)</f>
        <v>7100.4</v>
      </c>
      <c r="N7" s="217"/>
    </row>
    <row r="8" spans="1:15" x14ac:dyDescent="0.2">
      <c r="A8" s="218" t="str">
        <f>+'ce triennale'!A10</f>
        <v xml:space="preserve">Acquisti merci </v>
      </c>
      <c r="B8" s="225">
        <f>+'ce triennale'!$B$10*'Flussi fin'!B1*(1+'Flussi fin'!$O$6)</f>
        <v>0</v>
      </c>
      <c r="C8" s="225">
        <f>+'ce triennale'!$B$10*'Flussi fin'!C1*(1+'Flussi fin'!$O$6)</f>
        <v>0</v>
      </c>
      <c r="D8" s="225">
        <f>+'ce triennale'!$B$10*'Flussi fin'!D1*(1+'Flussi fin'!$O$6)</f>
        <v>0</v>
      </c>
      <c r="E8" s="225">
        <f>+'ce triennale'!$B$10*'Flussi fin'!E1*(1+'Flussi fin'!$O$6)</f>
        <v>0</v>
      </c>
      <c r="F8" s="225">
        <f>+'ce triennale'!$B$10*'Flussi fin'!F1*(1+'Flussi fin'!$O$6)</f>
        <v>0</v>
      </c>
      <c r="G8" s="225">
        <f>+'ce triennale'!$B$10*'Flussi fin'!G1*(1+'Flussi fin'!$O$6)</f>
        <v>0</v>
      </c>
      <c r="H8" s="225">
        <f>+'ce triennale'!$B$10*'Flussi fin'!H1*(1+'Flussi fin'!$O$6)</f>
        <v>0</v>
      </c>
      <c r="I8" s="225">
        <f>+'ce triennale'!$B$10*'Flussi fin'!I1*(1+'Flussi fin'!$O$6)</f>
        <v>0</v>
      </c>
      <c r="J8" s="225">
        <f>+'ce triennale'!$B$10*'Flussi fin'!J1*(1+'Flussi fin'!$O$6)</f>
        <v>0</v>
      </c>
      <c r="K8" s="225">
        <f>+'ce triennale'!$B$10*'Flussi fin'!K1*(1+'Flussi fin'!$O$6)</f>
        <v>0</v>
      </c>
      <c r="L8" s="225">
        <f>+'ce triennale'!$B$10*'Flussi fin'!L1*(1+'Flussi fin'!$O$6)</f>
        <v>0</v>
      </c>
      <c r="M8" s="225">
        <f>+'ce triennale'!$B$10*'Flussi fin'!M1*(1+'Flussi fin'!$O$6)</f>
        <v>0</v>
      </c>
      <c r="N8" s="217"/>
    </row>
    <row r="9" spans="1:15" x14ac:dyDescent="0.2">
      <c r="A9" s="218" t="str">
        <f>+'ce triennale'!A11</f>
        <v>Acquisti materiali di consumo</v>
      </c>
      <c r="B9" s="225">
        <f>+'ce triennale'!$B$11*'Flussi fin'!B1*(1+'Flussi fin'!$O$6)</f>
        <v>0</v>
      </c>
      <c r="C9" s="225">
        <f>+'ce triennale'!$B$11*'Flussi fin'!C1*(1+'Flussi fin'!$O$6)</f>
        <v>0</v>
      </c>
      <c r="D9" s="225">
        <f>+'ce triennale'!$B$11*'Flussi fin'!D1*(1+'Flussi fin'!$O$6)</f>
        <v>0</v>
      </c>
      <c r="E9" s="225">
        <f>+'ce triennale'!$B$11*'Flussi fin'!E1*(1+'Flussi fin'!$O$6)</f>
        <v>0</v>
      </c>
      <c r="F9" s="225">
        <f>+'ce triennale'!$B$11*'Flussi fin'!F1*(1+'Flussi fin'!$O$6)</f>
        <v>0</v>
      </c>
      <c r="G9" s="225">
        <f>+'ce triennale'!$B$11*'Flussi fin'!G1*(1+'Flussi fin'!$O$6)</f>
        <v>0</v>
      </c>
      <c r="H9" s="225">
        <f>+'ce triennale'!$B$11*'Flussi fin'!H1*(1+'Flussi fin'!$O$6)</f>
        <v>0</v>
      </c>
      <c r="I9" s="225">
        <f>+'ce triennale'!$B$11*'Flussi fin'!I1*(1+'Flussi fin'!$O$6)</f>
        <v>0</v>
      </c>
      <c r="J9" s="225">
        <f>+'ce triennale'!$B$11*'Flussi fin'!J1*(1+'Flussi fin'!$O$6)</f>
        <v>0</v>
      </c>
      <c r="K9" s="225">
        <f>+'ce triennale'!$B$11*'Flussi fin'!K1*(1+'Flussi fin'!$O$6)</f>
        <v>0</v>
      </c>
      <c r="L9" s="225">
        <f>+'ce triennale'!$B$11*'Flussi fin'!L1*(1+'Flussi fin'!$O$6)</f>
        <v>0</v>
      </c>
      <c r="M9" s="225">
        <f>+'ce triennale'!$B$11*'Flussi fin'!M1*(1+'Flussi fin'!$O$6)</f>
        <v>0</v>
      </c>
      <c r="N9" s="217"/>
    </row>
    <row r="10" spans="1:15" x14ac:dyDescent="0.2">
      <c r="A10" s="218" t="str">
        <f>+'ce triennale'!A12</f>
        <v>Carburanti e lubrificanti</v>
      </c>
      <c r="B10" s="225">
        <f>+'ce triennale'!$B$12*'Flussi fin'!B1*(1+'Flussi fin'!$O$6)</f>
        <v>0</v>
      </c>
      <c r="C10" s="225">
        <f>+'ce triennale'!$B$12*'Flussi fin'!C1*(1+'Flussi fin'!$O$6)</f>
        <v>0</v>
      </c>
      <c r="D10" s="225">
        <f>+'ce triennale'!$B$12*'Flussi fin'!D1*(1+'Flussi fin'!$O$6)</f>
        <v>0</v>
      </c>
      <c r="E10" s="225">
        <f>+'ce triennale'!$B$12*'Flussi fin'!E1*(1+'Flussi fin'!$O$6)</f>
        <v>0</v>
      </c>
      <c r="F10" s="225">
        <f>+'ce triennale'!$B$12*'Flussi fin'!F1*(1+'Flussi fin'!$O$6)</f>
        <v>0</v>
      </c>
      <c r="G10" s="225">
        <f>+'ce triennale'!$B$12*'Flussi fin'!G1*(1+'Flussi fin'!$O$6)</f>
        <v>0</v>
      </c>
      <c r="H10" s="225">
        <f>+'ce triennale'!$B$12*'Flussi fin'!H1*(1+'Flussi fin'!$O$6)</f>
        <v>0</v>
      </c>
      <c r="I10" s="225">
        <f>+'ce triennale'!$B$12*'Flussi fin'!I1*(1+'Flussi fin'!$O$6)</f>
        <v>0</v>
      </c>
      <c r="J10" s="225">
        <f>+'ce triennale'!$B$12*'Flussi fin'!J1*(1+'Flussi fin'!$O$6)</f>
        <v>0</v>
      </c>
      <c r="K10" s="225">
        <f>+'ce triennale'!$B$12*'Flussi fin'!K1*(1+'Flussi fin'!$O$6)</f>
        <v>0</v>
      </c>
      <c r="L10" s="225">
        <f>+'ce triennale'!$B$12*'Flussi fin'!L1*(1+'Flussi fin'!$O$6)</f>
        <v>0</v>
      </c>
      <c r="M10" s="225">
        <f>+'ce triennale'!$B$12*'Flussi fin'!M1*(1+'Flussi fin'!$O$6)</f>
        <v>0</v>
      </c>
      <c r="N10" s="217"/>
    </row>
    <row r="11" spans="1:15" x14ac:dyDescent="0.2">
      <c r="A11" s="218" t="str">
        <f>+'ce triennale'!A13</f>
        <v>Cancelleria e altri materiali</v>
      </c>
      <c r="B11" s="225">
        <f>+'ce triennale'!$B$13*'Flussi fin'!B1*(1+'Flussi fin'!$O$6)</f>
        <v>30.5</v>
      </c>
      <c r="C11" s="225">
        <f>+'ce triennale'!$B$13*'Flussi fin'!C1*(1+'Flussi fin'!$O$6)</f>
        <v>48.8</v>
      </c>
      <c r="D11" s="225">
        <f>+'ce triennale'!$B$13*'Flussi fin'!D1*(1+'Flussi fin'!$O$6)</f>
        <v>61</v>
      </c>
      <c r="E11" s="225">
        <f>+'ce triennale'!$B$13*'Flussi fin'!E1*(1+'Flussi fin'!$O$6)</f>
        <v>48.8</v>
      </c>
      <c r="F11" s="225">
        <f>+'ce triennale'!$B$13*'Flussi fin'!F1*(1+'Flussi fin'!$O$6)</f>
        <v>61</v>
      </c>
      <c r="G11" s="225">
        <f>+'ce triennale'!$B$13*'Flussi fin'!G1*(1+'Flussi fin'!$O$6)</f>
        <v>61</v>
      </c>
      <c r="H11" s="225">
        <f>+'ce triennale'!$B$13*'Flussi fin'!H1*(1+'Flussi fin'!$O$6)</f>
        <v>73.2</v>
      </c>
      <c r="I11" s="225">
        <f>+'ce triennale'!$B$13*'Flussi fin'!I1*(1+'Flussi fin'!$O$6)</f>
        <v>30.5</v>
      </c>
      <c r="J11" s="225">
        <f>+'ce triennale'!$B$13*'Flussi fin'!J1*(1+'Flussi fin'!$O$6)</f>
        <v>48.8</v>
      </c>
      <c r="K11" s="225">
        <f>+'ce triennale'!$B$13*'Flussi fin'!K1*(1+'Flussi fin'!$O$6)</f>
        <v>48.8</v>
      </c>
      <c r="L11" s="225">
        <f>+'ce triennale'!$B$13*'Flussi fin'!L1*(1+'Flussi fin'!$O$6)</f>
        <v>61</v>
      </c>
      <c r="M11" s="225">
        <f>+'ce triennale'!$B$13*'Flussi fin'!M1*(1+'Flussi fin'!$O$6)</f>
        <v>36.6</v>
      </c>
      <c r="N11" s="217"/>
    </row>
    <row r="12" spans="1:15" x14ac:dyDescent="0.2">
      <c r="A12" s="218" t="str">
        <f>+'ce triennale'!A16</f>
        <v>Costi di pubblicità</v>
      </c>
      <c r="B12" s="225">
        <f>+'ce triennale'!$B$16*'Flussi fin'!B1*(1+'Flussi fin'!$O$6)</f>
        <v>183</v>
      </c>
      <c r="C12" s="225">
        <f>+'ce triennale'!$B$16*'Flussi fin'!C1*(1+'Flussi fin'!$O$6)</f>
        <v>292.8</v>
      </c>
      <c r="D12" s="225">
        <f>+'ce triennale'!$B$16*'Flussi fin'!D1*(1+'Flussi fin'!$O$6)</f>
        <v>366</v>
      </c>
      <c r="E12" s="225">
        <f>+'ce triennale'!$B$16*'Flussi fin'!E1*(1+'Flussi fin'!$O$6)</f>
        <v>292.8</v>
      </c>
      <c r="F12" s="225">
        <f>+'ce triennale'!$B$16*'Flussi fin'!F1*(1+'Flussi fin'!$O$6)</f>
        <v>366</v>
      </c>
      <c r="G12" s="225">
        <f>+'ce triennale'!$B$16*'Flussi fin'!G1*(1+'Flussi fin'!$O$6)</f>
        <v>366</v>
      </c>
      <c r="H12" s="225">
        <f>+'ce triennale'!$B$16*'Flussi fin'!H1*(1+'Flussi fin'!$O$6)</f>
        <v>439.2</v>
      </c>
      <c r="I12" s="225">
        <f>+'ce triennale'!$B$16*'Flussi fin'!I1*(1+'Flussi fin'!$O$6)</f>
        <v>183</v>
      </c>
      <c r="J12" s="225">
        <f>+'ce triennale'!$B$16*'Flussi fin'!J1*(1+'Flussi fin'!$O$6)</f>
        <v>292.8</v>
      </c>
      <c r="K12" s="225">
        <f>+'ce triennale'!$B$16*'Flussi fin'!K1*(1+'Flussi fin'!$O$6)</f>
        <v>292.8</v>
      </c>
      <c r="L12" s="225">
        <f>+'ce triennale'!$B$16*'Flussi fin'!L1*(1+'Flussi fin'!$O$6)</f>
        <v>366</v>
      </c>
      <c r="M12" s="225">
        <f>+'ce triennale'!$B$16*'Flussi fin'!M1*(1+'Flussi fin'!$O$6)</f>
        <v>219.6</v>
      </c>
      <c r="N12" s="217"/>
    </row>
    <row r="13" spans="1:15" x14ac:dyDescent="0.2">
      <c r="A13" s="218" t="str">
        <f>+'ce triennale'!A17</f>
        <v>Prestazioni di terzi</v>
      </c>
      <c r="B13" s="225">
        <f>+'ce triennale'!$B$17*'Flussi fin'!B1*(1+'Flussi fin'!$O$6)</f>
        <v>0</v>
      </c>
      <c r="C13" s="225">
        <f>+'ce triennale'!$B$17*'Flussi fin'!C1*(1+'Flussi fin'!$O$6)</f>
        <v>0</v>
      </c>
      <c r="D13" s="225">
        <f>+'ce triennale'!$B$17*'Flussi fin'!D1*(1+'Flussi fin'!$O$6)</f>
        <v>0</v>
      </c>
      <c r="E13" s="225">
        <f>+'ce triennale'!$B$17*'Flussi fin'!E1*(1+'Flussi fin'!$O$6)</f>
        <v>0</v>
      </c>
      <c r="F13" s="225">
        <f>+'ce triennale'!$B$17*'Flussi fin'!F1*(1+'Flussi fin'!$O$6)</f>
        <v>0</v>
      </c>
      <c r="G13" s="225">
        <f>+'ce triennale'!$B$17*'Flussi fin'!G1*(1+'Flussi fin'!$O$6)</f>
        <v>0</v>
      </c>
      <c r="H13" s="225">
        <f>+'ce triennale'!$B$17*'Flussi fin'!H1*(1+'Flussi fin'!$O$6)</f>
        <v>0</v>
      </c>
      <c r="I13" s="225">
        <f>+'ce triennale'!$B$17*'Flussi fin'!I1*(1+'Flussi fin'!$O$6)</f>
        <v>0</v>
      </c>
      <c r="J13" s="225">
        <f>+'ce triennale'!$B$17*'Flussi fin'!J1*(1+'Flussi fin'!$O$6)</f>
        <v>0</v>
      </c>
      <c r="K13" s="225">
        <f>+'ce triennale'!$B$17*'Flussi fin'!K1*(1+'Flussi fin'!$O$6)</f>
        <v>0</v>
      </c>
      <c r="L13" s="225">
        <f>+'ce triennale'!$B$17*'Flussi fin'!L1*(1+'Flussi fin'!$O$6)</f>
        <v>0</v>
      </c>
      <c r="M13" s="225">
        <f>+'ce triennale'!$B$17*'Flussi fin'!M1*(1+'Flussi fin'!$O$6)</f>
        <v>0</v>
      </c>
      <c r="N13" s="217"/>
    </row>
    <row r="14" spans="1:15" x14ac:dyDescent="0.2">
      <c r="A14" s="218" t="str">
        <f>+'ce triennale'!A18</f>
        <v>Trasporti e viaggi</v>
      </c>
      <c r="B14" s="225">
        <f>+'ce triennale'!$B$18*'Flussi fin'!B1*(1+'Flussi fin'!$O$6)</f>
        <v>0</v>
      </c>
      <c r="C14" s="225">
        <f>+'ce triennale'!$B$18*'Flussi fin'!C1*(1+'Flussi fin'!$O$6)</f>
        <v>0</v>
      </c>
      <c r="D14" s="225">
        <f>+'ce triennale'!$B$18*'Flussi fin'!D1*(1+'Flussi fin'!$O$6)</f>
        <v>0</v>
      </c>
      <c r="E14" s="225">
        <f>+'ce triennale'!$B$18*'Flussi fin'!E1*(1+'Flussi fin'!$O$6)</f>
        <v>0</v>
      </c>
      <c r="F14" s="225">
        <f>+'ce triennale'!$B$18*'Flussi fin'!F1*(1+'Flussi fin'!$O$6)</f>
        <v>0</v>
      </c>
      <c r="G14" s="225">
        <f>+'ce triennale'!$B$18*'Flussi fin'!G1*(1+'Flussi fin'!$O$6)</f>
        <v>0</v>
      </c>
      <c r="H14" s="225">
        <f>+'ce triennale'!$B$18*'Flussi fin'!H1*(1+'Flussi fin'!$O$6)</f>
        <v>0</v>
      </c>
      <c r="I14" s="225">
        <f>+'ce triennale'!$B$18*'Flussi fin'!I1*(1+'Flussi fin'!$O$6)</f>
        <v>0</v>
      </c>
      <c r="J14" s="225">
        <f>+'ce triennale'!$B$18*'Flussi fin'!J1*(1+'Flussi fin'!$O$6)</f>
        <v>0</v>
      </c>
      <c r="K14" s="225">
        <f>+'ce triennale'!$B$18*'Flussi fin'!K1*(1+'Flussi fin'!$O$6)</f>
        <v>0</v>
      </c>
      <c r="L14" s="225">
        <f>+'ce triennale'!$B$18*'Flussi fin'!L1*(1+'Flussi fin'!$O$6)</f>
        <v>0</v>
      </c>
      <c r="M14" s="225">
        <f>+'ce triennale'!$B$18*'Flussi fin'!M1*(1+'Flussi fin'!$O$6)</f>
        <v>0</v>
      </c>
      <c r="N14" s="217"/>
    </row>
    <row r="15" spans="1:15" x14ac:dyDescent="0.2">
      <c r="A15" s="218" t="str">
        <f>+'ce triennale'!A19</f>
        <v xml:space="preserve">Consulenze contabili, fiscali </v>
      </c>
      <c r="B15" s="225">
        <f>+'ce triennale'!$B$19*'Flussi fin'!B1*(1+'Flussi fin'!$O$6)</f>
        <v>0</v>
      </c>
      <c r="C15" s="225">
        <f>+'ce triennale'!$B$19*'Flussi fin'!C1*(1+'Flussi fin'!$O$6)</f>
        <v>0</v>
      </c>
      <c r="D15" s="225">
        <f>+'ce triennale'!$B$19*'Flussi fin'!D1*(1+'Flussi fin'!$O$6)</f>
        <v>0</v>
      </c>
      <c r="E15" s="225">
        <f>+'ce triennale'!$B$19*'Flussi fin'!E1*(1+'Flussi fin'!$O$6)</f>
        <v>0</v>
      </c>
      <c r="F15" s="225">
        <f>+'ce triennale'!$B$19*'Flussi fin'!F1*(1+'Flussi fin'!$O$6)</f>
        <v>0</v>
      </c>
      <c r="G15" s="225">
        <f>+'ce triennale'!$B$19*'Flussi fin'!G1*(1+'Flussi fin'!$O$6)</f>
        <v>0</v>
      </c>
      <c r="H15" s="225">
        <f>+'ce triennale'!$B$19*'Flussi fin'!H1*(1+'Flussi fin'!$O$6)</f>
        <v>0</v>
      </c>
      <c r="I15" s="225">
        <f>+'ce triennale'!$B$19*'Flussi fin'!I1*(1+'Flussi fin'!$O$6)</f>
        <v>0</v>
      </c>
      <c r="J15" s="225">
        <f>+'ce triennale'!$B$19*'Flussi fin'!J1*(1+'Flussi fin'!$O$6)</f>
        <v>0</v>
      </c>
      <c r="K15" s="225">
        <f>+'ce triennale'!$B$19*'Flussi fin'!K1*(1+'Flussi fin'!$O$6)</f>
        <v>0</v>
      </c>
      <c r="L15" s="225">
        <f>+'ce triennale'!$B$19*'Flussi fin'!L1*(1+'Flussi fin'!$O$6)</f>
        <v>0</v>
      </c>
      <c r="M15" s="225">
        <f>+'ce triennale'!$B$19*'Flussi fin'!M1*(1+'Flussi fin'!$O$6)</f>
        <v>0</v>
      </c>
      <c r="N15" s="217"/>
    </row>
    <row r="16" spans="1:15" x14ac:dyDescent="0.2">
      <c r="A16" s="218" t="str">
        <f>+'ce triennale'!A20</f>
        <v>Corsi formazione/aggiornamento</v>
      </c>
      <c r="B16" s="225">
        <f>+'ce triennale'!$B$20*'Flussi fin'!B1*(1+'Flussi fin'!$O$6)</f>
        <v>0</v>
      </c>
      <c r="C16" s="225">
        <f>+'ce triennale'!$B$20*'Flussi fin'!C1*(1+'Flussi fin'!$O$6)</f>
        <v>0</v>
      </c>
      <c r="D16" s="225">
        <f>+'ce triennale'!$B$20*'Flussi fin'!D1*(1+'Flussi fin'!$O$6)</f>
        <v>0</v>
      </c>
      <c r="E16" s="225">
        <f>+'ce triennale'!$B$20*'Flussi fin'!E1*(1+'Flussi fin'!$O$6)</f>
        <v>0</v>
      </c>
      <c r="F16" s="225">
        <f>+'ce triennale'!$B$20*'Flussi fin'!F1*(1+'Flussi fin'!$O$6)</f>
        <v>0</v>
      </c>
      <c r="G16" s="225">
        <f>+'ce triennale'!$B$20*'Flussi fin'!G1*(1+'Flussi fin'!$O$6)</f>
        <v>0</v>
      </c>
      <c r="H16" s="225">
        <f>+'ce triennale'!$B$20*'Flussi fin'!H1*(1+'Flussi fin'!$O$6)</f>
        <v>0</v>
      </c>
      <c r="I16" s="225">
        <f>+'ce triennale'!$B$20*'Flussi fin'!I1*(1+'Flussi fin'!$O$6)</f>
        <v>0</v>
      </c>
      <c r="J16" s="225">
        <f>+'ce triennale'!$B$20*'Flussi fin'!J1*(1+'Flussi fin'!$O$6)</f>
        <v>0</v>
      </c>
      <c r="K16" s="225">
        <f>+'ce triennale'!$B$20*'Flussi fin'!K1*(1+'Flussi fin'!$O$6)</f>
        <v>0</v>
      </c>
      <c r="L16" s="225">
        <f>+'ce triennale'!$B$20*'Flussi fin'!L1*(1+'Flussi fin'!$O$6)</f>
        <v>0</v>
      </c>
      <c r="M16" s="225">
        <f>+'ce triennale'!$B$20*'Flussi fin'!M1*(1+'Flussi fin'!$O$6)</f>
        <v>0</v>
      </c>
      <c r="N16" s="217"/>
    </row>
    <row r="17" spans="1:14" x14ac:dyDescent="0.2">
      <c r="A17" s="218" t="str">
        <f>+'ce triennale'!A21</f>
        <v>Assicurazioni</v>
      </c>
      <c r="B17" s="225">
        <f>'ce triennale'!B21</f>
        <v>0</v>
      </c>
      <c r="C17" s="225"/>
      <c r="D17" s="225"/>
      <c r="E17" s="225"/>
      <c r="F17" s="225"/>
      <c r="G17" s="225"/>
      <c r="H17" s="225"/>
      <c r="I17" s="225"/>
      <c r="J17" s="225"/>
      <c r="K17" s="225"/>
      <c r="L17" s="225"/>
      <c r="M17" s="225"/>
      <c r="N17" s="217"/>
    </row>
    <row r="18" spans="1:14" x14ac:dyDescent="0.2">
      <c r="A18" s="218" t="str">
        <f>+'ce triennale'!A22</f>
        <v>Commissioni bancarie</v>
      </c>
      <c r="B18" s="225"/>
      <c r="C18" s="225"/>
      <c r="D18" s="225">
        <f>+'ce triennale'!$B$22/4</f>
        <v>0</v>
      </c>
      <c r="E18" s="225"/>
      <c r="F18" s="225"/>
      <c r="G18" s="225">
        <f>+'ce triennale'!$B$22/4</f>
        <v>0</v>
      </c>
      <c r="H18" s="225"/>
      <c r="I18" s="225"/>
      <c r="J18" s="225">
        <f>+'ce triennale'!$B$22/4</f>
        <v>0</v>
      </c>
      <c r="K18" s="225"/>
      <c r="L18" s="225"/>
      <c r="M18" s="225">
        <f>+'ce triennale'!$B$22/4</f>
        <v>0</v>
      </c>
      <c r="N18" s="217"/>
    </row>
    <row r="19" spans="1:14" x14ac:dyDescent="0.2">
      <c r="A19" s="218" t="str">
        <f>+'ce triennale'!A23</f>
        <v>Spese bancarie e postali</v>
      </c>
      <c r="B19" s="225"/>
      <c r="C19" s="225"/>
      <c r="D19" s="225">
        <f>+'ce triennale'!$B$23/4</f>
        <v>0</v>
      </c>
      <c r="E19" s="225"/>
      <c r="F19" s="225"/>
      <c r="G19" s="225">
        <f>+'ce triennale'!$B$23/4</f>
        <v>0</v>
      </c>
      <c r="H19" s="225"/>
      <c r="I19" s="225"/>
      <c r="J19" s="225">
        <f>+'ce triennale'!$B$23/4</f>
        <v>0</v>
      </c>
      <c r="K19" s="225"/>
      <c r="L19" s="225"/>
      <c r="M19" s="225">
        <f>+'ce triennale'!$B$23/4</f>
        <v>0</v>
      </c>
      <c r="N19" s="217"/>
    </row>
    <row r="20" spans="1:14" x14ac:dyDescent="0.2">
      <c r="A20" s="218" t="str">
        <f>+'ce triennale'!A24</f>
        <v xml:space="preserve">Consulenze specialistiche </v>
      </c>
      <c r="B20" s="225">
        <f>+'ce triennale'!$B$24*'Flussi fin'!B1*(1+'Flussi fin'!$O$6)</f>
        <v>0</v>
      </c>
      <c r="C20" s="225">
        <f>+'ce triennale'!$B$24*'Flussi fin'!C1*(1+'Flussi fin'!$O$6)</f>
        <v>0</v>
      </c>
      <c r="D20" s="225">
        <f>+'ce triennale'!$B$24*'Flussi fin'!D1*(1+'Flussi fin'!$O$6)</f>
        <v>0</v>
      </c>
      <c r="E20" s="225">
        <f>+'ce triennale'!$B$24*'Flussi fin'!E1*(1+'Flussi fin'!$O$6)</f>
        <v>0</v>
      </c>
      <c r="F20" s="225">
        <f>+'ce triennale'!$B$24*'Flussi fin'!F1*(1+'Flussi fin'!$O$6)</f>
        <v>0</v>
      </c>
      <c r="G20" s="225">
        <f>+'ce triennale'!$B$24*'Flussi fin'!G1*(1+'Flussi fin'!$O$6)</f>
        <v>0</v>
      </c>
      <c r="H20" s="225">
        <f>+'ce triennale'!$B$24*'Flussi fin'!H1*(1+'Flussi fin'!$O$6)</f>
        <v>0</v>
      </c>
      <c r="I20" s="225">
        <f>+'ce triennale'!$B$24*'Flussi fin'!I1*(1+'Flussi fin'!$O$6)</f>
        <v>0</v>
      </c>
      <c r="J20" s="225">
        <f>+'ce triennale'!$B$24*'Flussi fin'!J1*(1+'Flussi fin'!$O$6)</f>
        <v>0</v>
      </c>
      <c r="K20" s="225">
        <f>+'ce triennale'!$B$24*'Flussi fin'!K1*(1+'Flussi fin'!$O$6)</f>
        <v>0</v>
      </c>
      <c r="L20" s="225">
        <f>+'ce triennale'!$B$24*'Flussi fin'!L1*(1+'Flussi fin'!$O$6)</f>
        <v>0</v>
      </c>
      <c r="M20" s="225">
        <f>+'ce triennale'!$B$24*'Flussi fin'!M1*(1+'Flussi fin'!$O$6)</f>
        <v>0</v>
      </c>
      <c r="N20" s="217"/>
    </row>
    <row r="21" spans="1:14" x14ac:dyDescent="0.2">
      <c r="A21" s="218" t="str">
        <f>+'ce triennale'!A25</f>
        <v xml:space="preserve"> Manutenzioni e riparazioni</v>
      </c>
      <c r="B21" s="225">
        <f>+'ce triennale'!$B$25/12*(1+'Flussi fin'!$O$6)</f>
        <v>0</v>
      </c>
      <c r="C21" s="225">
        <f>+'ce triennale'!$B$25/12*(1+'Flussi fin'!$O$6)</f>
        <v>0</v>
      </c>
      <c r="D21" s="225">
        <f>+'ce triennale'!$B$25/12*(1+'Flussi fin'!$O$6)</f>
        <v>0</v>
      </c>
      <c r="E21" s="225">
        <f>+'ce triennale'!$B$25/12*(1+'Flussi fin'!$O$6)</f>
        <v>0</v>
      </c>
      <c r="F21" s="225">
        <f>+'ce triennale'!$B$25/12*(1+'Flussi fin'!$O$6)</f>
        <v>0</v>
      </c>
      <c r="G21" s="225">
        <f>+'ce triennale'!$B$25/12*(1+'Flussi fin'!$O$6)</f>
        <v>0</v>
      </c>
      <c r="H21" s="225">
        <f>+'ce triennale'!$B$25/12*(1+'Flussi fin'!$O$6)</f>
        <v>0</v>
      </c>
      <c r="I21" s="225">
        <f>+'ce triennale'!$B$25/12*(1+'Flussi fin'!$O$6)</f>
        <v>0</v>
      </c>
      <c r="J21" s="225">
        <f>+'ce triennale'!$B$25/12*(1+'Flussi fin'!$O$6)</f>
        <v>0</v>
      </c>
      <c r="K21" s="225">
        <f>+'ce triennale'!$B$25/12*(1+'Flussi fin'!$O$6)</f>
        <v>0</v>
      </c>
      <c r="L21" s="225">
        <f>+'ce triennale'!$B$25/12*(1+'Flussi fin'!$O$6)</f>
        <v>0</v>
      </c>
      <c r="M21" s="225">
        <f>+'ce triennale'!$B$25/12*(1+'Flussi fin'!$O$6)</f>
        <v>0</v>
      </c>
      <c r="N21" s="217"/>
    </row>
    <row r="22" spans="1:14" x14ac:dyDescent="0.2">
      <c r="A22" s="218" t="str">
        <f>+'ce triennale'!A26</f>
        <v>Spese telefoniche</v>
      </c>
      <c r="B22" s="225">
        <f>+'ce triennale'!$B$26/12*(1+'Flussi fin'!$O$6)</f>
        <v>0</v>
      </c>
      <c r="C22" s="225">
        <f>+'ce triennale'!$B$26/12*(1+'Flussi fin'!$O$6)</f>
        <v>0</v>
      </c>
      <c r="D22" s="225">
        <f>+'ce triennale'!$B$26/12*(1+'Flussi fin'!$O$6)</f>
        <v>0</v>
      </c>
      <c r="E22" s="225">
        <f>+'ce triennale'!$B$26/12*(1+'Flussi fin'!$O$6)</f>
        <v>0</v>
      </c>
      <c r="F22" s="225">
        <f>+'ce triennale'!$B$26/12*(1+'Flussi fin'!$O$6)</f>
        <v>0</v>
      </c>
      <c r="G22" s="225">
        <f>+'ce triennale'!$B$26/12*(1+'Flussi fin'!$O$6)</f>
        <v>0</v>
      </c>
      <c r="H22" s="225">
        <f>+'ce triennale'!$B$26/12*(1+'Flussi fin'!$O$6)</f>
        <v>0</v>
      </c>
      <c r="I22" s="225">
        <f>+'ce triennale'!$B$26/12*(1+'Flussi fin'!$O$6)</f>
        <v>0</v>
      </c>
      <c r="J22" s="225">
        <f>+'ce triennale'!$B$26/12*(1+'Flussi fin'!$O$6)</f>
        <v>0</v>
      </c>
      <c r="K22" s="225">
        <f>+'ce triennale'!$B$26/12*(1+'Flussi fin'!$O$6)</f>
        <v>0</v>
      </c>
      <c r="L22" s="225">
        <f>+'ce triennale'!$B$26/12*(1+'Flussi fin'!$O$6)</f>
        <v>0</v>
      </c>
      <c r="M22" s="225">
        <f>+'ce triennale'!$B$26/12*(1+'Flussi fin'!$O$6)</f>
        <v>0</v>
      </c>
      <c r="N22" s="217"/>
    </row>
    <row r="23" spans="1:14" x14ac:dyDescent="0.2">
      <c r="A23" s="218" t="str">
        <f>+'ce triennale'!A27</f>
        <v>Energia elettrica</v>
      </c>
      <c r="B23" s="225">
        <f>+'ce triennale'!$B$27/12*(1+'Flussi fin'!$O$6)</f>
        <v>132.16666666666666</v>
      </c>
      <c r="C23" s="225">
        <f>+'ce triennale'!$B$27/12*(1+'Flussi fin'!$O$6)</f>
        <v>132.16666666666666</v>
      </c>
      <c r="D23" s="225">
        <f>+'ce triennale'!$B$27/12*(1+'Flussi fin'!$O$6)</f>
        <v>132.16666666666666</v>
      </c>
      <c r="E23" s="225">
        <f>+'ce triennale'!$B$27/12*(1+'Flussi fin'!$O$6)</f>
        <v>132.16666666666666</v>
      </c>
      <c r="F23" s="225">
        <f>+'ce triennale'!$B$27/12*(1+'Flussi fin'!$O$6)</f>
        <v>132.16666666666666</v>
      </c>
      <c r="G23" s="225">
        <f>+'ce triennale'!$B$27/12*(1+'Flussi fin'!$O$6)</f>
        <v>132.16666666666666</v>
      </c>
      <c r="H23" s="225">
        <f>+'ce triennale'!$B$27/12*(1+'Flussi fin'!$O$6)</f>
        <v>132.16666666666666</v>
      </c>
      <c r="I23" s="225">
        <f>+'ce triennale'!$B$27/12*(1+'Flussi fin'!$O$6)</f>
        <v>132.16666666666666</v>
      </c>
      <c r="J23" s="225">
        <f>+'ce triennale'!$B$27/12*(1+'Flussi fin'!$O$6)</f>
        <v>132.16666666666666</v>
      </c>
      <c r="K23" s="225">
        <f>+'ce triennale'!$B$27/12*(1+'Flussi fin'!$O$6)</f>
        <v>132.16666666666666</v>
      </c>
      <c r="L23" s="225">
        <f>+'ce triennale'!$B$27/12*(1+'Flussi fin'!$O$6)</f>
        <v>132.16666666666666</v>
      </c>
      <c r="M23" s="225">
        <f>+'ce triennale'!$B$27/12*(1+'Flussi fin'!$O$6)</f>
        <v>132.16666666666666</v>
      </c>
      <c r="N23" s="217"/>
    </row>
    <row r="24" spans="1:14" x14ac:dyDescent="0.2">
      <c r="A24" s="218" t="str">
        <f>+'ce triennale'!A28</f>
        <v>Acqua, riscaldamento altre utenze</v>
      </c>
      <c r="B24" s="225">
        <f>+'ce triennale'!$B$28/12*(1+'Flussi fin'!$O$6)</f>
        <v>0</v>
      </c>
      <c r="C24" s="225">
        <f>+'ce triennale'!$B$28/12*(1+'Flussi fin'!$O$6)</f>
        <v>0</v>
      </c>
      <c r="D24" s="225">
        <f>+'ce triennale'!$B$28/12*(1+'Flussi fin'!$O$6)</f>
        <v>0</v>
      </c>
      <c r="E24" s="225">
        <f>+'ce triennale'!$B$28/12*(1+'Flussi fin'!$O$6)</f>
        <v>0</v>
      </c>
      <c r="F24" s="225">
        <f>+'ce triennale'!$B$28/12*(1+'Flussi fin'!$O$6)</f>
        <v>0</v>
      </c>
      <c r="G24" s="225">
        <f>+'ce triennale'!$B$28/12*(1+'Flussi fin'!$O$6)</f>
        <v>0</v>
      </c>
      <c r="H24" s="225">
        <f>+'ce triennale'!$B$28/12*(1+'Flussi fin'!$O$6)</f>
        <v>0</v>
      </c>
      <c r="I24" s="225">
        <f>+'ce triennale'!$B$28/12*(1+'Flussi fin'!$O$6)</f>
        <v>0</v>
      </c>
      <c r="J24" s="225">
        <f>+'ce triennale'!$B$28/12*(1+'Flussi fin'!$O$6)</f>
        <v>0</v>
      </c>
      <c r="K24" s="225">
        <f>+'ce triennale'!$B$28/12*(1+'Flussi fin'!$O$6)</f>
        <v>0</v>
      </c>
      <c r="L24" s="225">
        <f>+'ce triennale'!$B$28/12*(1+'Flussi fin'!$O$6)</f>
        <v>0</v>
      </c>
      <c r="M24" s="225">
        <f>+'ce triennale'!$B$28/12*(1+'Flussi fin'!$O$6)</f>
        <v>0</v>
      </c>
      <c r="N24" s="217"/>
    </row>
    <row r="25" spans="1:14" x14ac:dyDescent="0.2">
      <c r="A25" s="218" t="str">
        <f>+'ce triennale'!A29</f>
        <v>Spese pulizia e vigilanza</v>
      </c>
      <c r="B25" s="225">
        <f>+'ce triennale'!$B$29/12*(1+'Flussi fin'!$O$6)</f>
        <v>0</v>
      </c>
      <c r="C25" s="225">
        <f>+'ce triennale'!$B$29/12*(1+'Flussi fin'!$O$6)</f>
        <v>0</v>
      </c>
      <c r="D25" s="225">
        <f>+'ce triennale'!$B$29/12*(1+'Flussi fin'!$O$6)</f>
        <v>0</v>
      </c>
      <c r="E25" s="225">
        <f>+'ce triennale'!$B$29/12*(1+'Flussi fin'!$O$6)</f>
        <v>0</v>
      </c>
      <c r="F25" s="225">
        <f>+'ce triennale'!$B$29/12*(1+'Flussi fin'!$O$6)</f>
        <v>0</v>
      </c>
      <c r="G25" s="225">
        <f>+'ce triennale'!$B$29/12*(1+'Flussi fin'!$O$6)</f>
        <v>0</v>
      </c>
      <c r="H25" s="225">
        <f>+'ce triennale'!$B$29/12*(1+'Flussi fin'!$O$6)</f>
        <v>0</v>
      </c>
      <c r="I25" s="225">
        <f>+'ce triennale'!$B$29/12*(1+'Flussi fin'!$O$6)</f>
        <v>0</v>
      </c>
      <c r="J25" s="225">
        <f>+'ce triennale'!$B$29/12*(1+'Flussi fin'!$O$6)</f>
        <v>0</v>
      </c>
      <c r="K25" s="225">
        <f>+'ce triennale'!$B$29/12*(1+'Flussi fin'!$O$6)</f>
        <v>0</v>
      </c>
      <c r="L25" s="225">
        <f>+'ce triennale'!$B$29/12*(1+'Flussi fin'!$O$6)</f>
        <v>0</v>
      </c>
      <c r="M25" s="225">
        <f>+'ce triennale'!$B$29/12*(1+'Flussi fin'!$O$6)</f>
        <v>0</v>
      </c>
      <c r="N25" s="217"/>
    </row>
    <row r="26" spans="1:14" x14ac:dyDescent="0.2">
      <c r="A26" s="218" t="str">
        <f>+'ce triennale'!A30</f>
        <v>Altre spese per servizi</v>
      </c>
      <c r="B26" s="225">
        <f>+'ce triennale'!$B$30/12*(1+'Flussi fin'!$O$6)</f>
        <v>0</v>
      </c>
      <c r="C26" s="225">
        <f>+'ce triennale'!$B$30/12*(1+'Flussi fin'!$O$6)</f>
        <v>0</v>
      </c>
      <c r="D26" s="225">
        <f>+'ce triennale'!$B$30/12*(1+'Flussi fin'!$O$6)</f>
        <v>0</v>
      </c>
      <c r="E26" s="225">
        <f>+'ce triennale'!$B$30/12*(1+'Flussi fin'!$O$6)</f>
        <v>0</v>
      </c>
      <c r="F26" s="225">
        <f>+'ce triennale'!$B$30/12*(1+'Flussi fin'!$O$6)</f>
        <v>0</v>
      </c>
      <c r="G26" s="225">
        <f>+'ce triennale'!$B$30/12*(1+'Flussi fin'!$O$6)</f>
        <v>0</v>
      </c>
      <c r="H26" s="225">
        <f>+'ce triennale'!$B$30/12*(1+'Flussi fin'!$O$6)</f>
        <v>0</v>
      </c>
      <c r="I26" s="225">
        <f>+'ce triennale'!$B$30/12*(1+'Flussi fin'!$O$6)</f>
        <v>0</v>
      </c>
      <c r="J26" s="225">
        <f>+'ce triennale'!$B$30/12*(1+'Flussi fin'!$O$6)</f>
        <v>0</v>
      </c>
      <c r="K26" s="225">
        <f>+'ce triennale'!$B$30/12*(1+'Flussi fin'!$O$6)</f>
        <v>0</v>
      </c>
      <c r="L26" s="225">
        <f>+'ce triennale'!$B$30/12*(1+'Flussi fin'!$O$6)</f>
        <v>0</v>
      </c>
      <c r="M26" s="225">
        <f>+'ce triennale'!$B$30/12*(1+'Flussi fin'!$O$6)</f>
        <v>0</v>
      </c>
      <c r="N26" s="217"/>
    </row>
    <row r="27" spans="1:14" x14ac:dyDescent="0.2">
      <c r="A27" s="218" t="str">
        <f>+'ce triennale'!A32</f>
        <v>Costi del personale</v>
      </c>
      <c r="B27" s="225"/>
      <c r="C27" s="225">
        <f>+'ce triennale'!$B$32/13</f>
        <v>0</v>
      </c>
      <c r="D27" s="225">
        <f>+'ce triennale'!$B$32/13</f>
        <v>0</v>
      </c>
      <c r="E27" s="225">
        <f>+'ce triennale'!$B$32/13</f>
        <v>0</v>
      </c>
      <c r="F27" s="225">
        <f>+'ce triennale'!$B$32/13</f>
        <v>0</v>
      </c>
      <c r="G27" s="225">
        <f>+'ce triennale'!$B$32/13</f>
        <v>0</v>
      </c>
      <c r="H27" s="225">
        <f>+'ce triennale'!$B$32/13</f>
        <v>0</v>
      </c>
      <c r="I27" s="225">
        <f>+'ce triennale'!$B$32/13</f>
        <v>0</v>
      </c>
      <c r="J27" s="225">
        <f>+'ce triennale'!$B$32/13</f>
        <v>0</v>
      </c>
      <c r="K27" s="225">
        <f>+'ce triennale'!$B$32/13</f>
        <v>0</v>
      </c>
      <c r="L27" s="225">
        <f>+'ce triennale'!$B$32/13</f>
        <v>0</v>
      </c>
      <c r="M27" s="225">
        <f>+'ce triennale'!$B$32/13*2</f>
        <v>0</v>
      </c>
      <c r="N27" s="217"/>
    </row>
    <row r="28" spans="1:14" x14ac:dyDescent="0.2">
      <c r="A28" s="218" t="str">
        <f>+'ce triennale'!A35</f>
        <v>Affitto</v>
      </c>
      <c r="B28" s="225">
        <f>+'ce triennale'!$B$35/12</f>
        <v>1000</v>
      </c>
      <c r="C28" s="225">
        <f>+'ce triennale'!$B$35/12</f>
        <v>1000</v>
      </c>
      <c r="D28" s="225">
        <f>+'ce triennale'!$B$35/12</f>
        <v>1000</v>
      </c>
      <c r="E28" s="225">
        <f>+'ce triennale'!$B$35/12</f>
        <v>1000</v>
      </c>
      <c r="F28" s="225">
        <f>+'ce triennale'!$B$35/12</f>
        <v>1000</v>
      </c>
      <c r="G28" s="225">
        <f>+'ce triennale'!$B$35/12</f>
        <v>1000</v>
      </c>
      <c r="H28" s="225">
        <f>+'ce triennale'!$B$35/12</f>
        <v>1000</v>
      </c>
      <c r="I28" s="225">
        <f>+'ce triennale'!$B$35/12</f>
        <v>1000</v>
      </c>
      <c r="J28" s="225">
        <f>+'ce triennale'!$B$35/12</f>
        <v>1000</v>
      </c>
      <c r="K28" s="225">
        <f>+'ce triennale'!$B$35/12</f>
        <v>1000</v>
      </c>
      <c r="L28" s="225">
        <f>+'ce triennale'!$B$35/12</f>
        <v>1000</v>
      </c>
      <c r="M28" s="225">
        <f>+'ce triennale'!$B$35/12</f>
        <v>1000</v>
      </c>
      <c r="N28" s="217"/>
    </row>
    <row r="29" spans="1:14" x14ac:dyDescent="0.2">
      <c r="A29" s="218" t="str">
        <f>+'ce triennale'!A36</f>
        <v>Canoni leasing</v>
      </c>
      <c r="B29" s="225">
        <f>+'ce triennale'!$B$36/12*(1+O6)</f>
        <v>0</v>
      </c>
      <c r="C29" s="225">
        <f>+'ce triennale'!$B$36/12*(1+P6)</f>
        <v>0</v>
      </c>
      <c r="D29" s="225">
        <f>+'ce triennale'!$B$36/12*(1+Q6)</f>
        <v>0</v>
      </c>
      <c r="E29" s="225">
        <f>+'ce triennale'!$B$36/12*(1+R6)</f>
        <v>0</v>
      </c>
      <c r="F29" s="225">
        <f>+'ce triennale'!$B$36/12*(1+S6)</f>
        <v>0</v>
      </c>
      <c r="G29" s="225">
        <f>+'ce triennale'!$B$36/12*(1+T6)</f>
        <v>0</v>
      </c>
      <c r="H29" s="225">
        <f>+'ce triennale'!$B$36/12*(1+U6)</f>
        <v>0</v>
      </c>
      <c r="I29" s="225">
        <f>+'ce triennale'!$B$36/12*(1+V6)</f>
        <v>0</v>
      </c>
      <c r="J29" s="225">
        <f>+'ce triennale'!$B$36/12*(1+W6)</f>
        <v>0</v>
      </c>
      <c r="K29" s="225">
        <f>+'ce triennale'!$B$36/12*(1+X6)</f>
        <v>0</v>
      </c>
      <c r="L29" s="225">
        <f>+'ce triennale'!$B$36/12*(1+Y6)</f>
        <v>0</v>
      </c>
      <c r="M29" s="225">
        <f>+'ce triennale'!$B$36/12*(1+Z6)</f>
        <v>0</v>
      </c>
      <c r="N29" s="217"/>
    </row>
    <row r="30" spans="1:14" x14ac:dyDescent="0.2">
      <c r="A30" s="218" t="str">
        <f>+'ce triennale'!A37</f>
        <v>Noleggi</v>
      </c>
      <c r="B30" s="225">
        <f>+'ce triennale'!$B$37/12</f>
        <v>0</v>
      </c>
      <c r="C30" s="225">
        <f>+'ce triennale'!$B$37/12</f>
        <v>0</v>
      </c>
      <c r="D30" s="225">
        <f>+'ce triennale'!$B$37/12</f>
        <v>0</v>
      </c>
      <c r="E30" s="225">
        <f>+'ce triennale'!$B$37/12</f>
        <v>0</v>
      </c>
      <c r="F30" s="225">
        <f>+'ce triennale'!$B$37/12</f>
        <v>0</v>
      </c>
      <c r="G30" s="225">
        <f>+'ce triennale'!$B$37/12</f>
        <v>0</v>
      </c>
      <c r="H30" s="225">
        <f>+'ce triennale'!$B$37/12</f>
        <v>0</v>
      </c>
      <c r="I30" s="225">
        <f>+'ce triennale'!$B$37/12</f>
        <v>0</v>
      </c>
      <c r="J30" s="225">
        <f>+'ce triennale'!$B$37/12</f>
        <v>0</v>
      </c>
      <c r="K30" s="225">
        <f>+'ce triennale'!$B$37/12</f>
        <v>0</v>
      </c>
      <c r="L30" s="225">
        <f>+'ce triennale'!$B$37/12</f>
        <v>0</v>
      </c>
      <c r="M30" s="225">
        <f>+'ce triennale'!$B$37/12</f>
        <v>0</v>
      </c>
      <c r="N30" s="217"/>
    </row>
    <row r="31" spans="1:14" x14ac:dyDescent="0.2">
      <c r="A31" s="218" t="str">
        <f>+'ce triennale'!A40</f>
        <v>Abbonamenti a riviste/TV</v>
      </c>
      <c r="B31" s="225">
        <f>+'ce triennale'!B40</f>
        <v>0</v>
      </c>
      <c r="C31" s="225"/>
      <c r="D31" s="225"/>
      <c r="E31" s="225"/>
      <c r="F31" s="225"/>
      <c r="G31" s="225"/>
      <c r="H31" s="225"/>
      <c r="I31" s="225"/>
      <c r="J31" s="225"/>
      <c r="K31" s="225"/>
      <c r="L31" s="225"/>
      <c r="M31" s="225"/>
      <c r="N31" s="217"/>
    </row>
    <row r="32" spans="1:14" x14ac:dyDescent="0.2">
      <c r="A32" s="218" t="str">
        <f>+'ce triennale'!A41</f>
        <v>Quote associazioni categoria/albi</v>
      </c>
      <c r="B32" s="225">
        <f>+'ce triennale'!B41</f>
        <v>0</v>
      </c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17"/>
    </row>
    <row r="33" spans="1:15" x14ac:dyDescent="0.2">
      <c r="A33" s="218" t="str">
        <f>+'ce triennale'!A42</f>
        <v>Tassa iscriz.annua cciaa/vidimazioni</v>
      </c>
      <c r="B33" s="225">
        <f>+'ce triennale'!B42</f>
        <v>0</v>
      </c>
      <c r="C33" s="225"/>
      <c r="D33" s="225"/>
      <c r="E33" s="225"/>
      <c r="F33" s="225"/>
      <c r="G33" s="225"/>
      <c r="H33" s="225"/>
      <c r="I33" s="225"/>
      <c r="J33" s="225"/>
      <c r="K33" s="225"/>
      <c r="L33" s="225"/>
      <c r="M33" s="225"/>
      <c r="N33" s="217"/>
    </row>
    <row r="34" spans="1:15" x14ac:dyDescent="0.2">
      <c r="A34" s="218" t="str">
        <f>+'ce triennale'!A43</f>
        <v>Tassa proprietà automezzi</v>
      </c>
      <c r="B34" s="225">
        <f>+'ce triennale'!B43</f>
        <v>0</v>
      </c>
      <c r="C34" s="225"/>
      <c r="D34" s="225"/>
      <c r="E34" s="225"/>
      <c r="F34" s="225"/>
      <c r="G34" s="225"/>
      <c r="H34" s="225"/>
      <c r="I34" s="225"/>
      <c r="J34" s="225"/>
      <c r="K34" s="225"/>
      <c r="L34" s="225"/>
      <c r="M34" s="225"/>
      <c r="N34" s="217"/>
    </row>
    <row r="35" spans="1:15" x14ac:dyDescent="0.2">
      <c r="A35" s="218" t="str">
        <f>+'ce triennale'!A44</f>
        <v>Tassa pubblicità</v>
      </c>
      <c r="B35" s="225">
        <f>+'ce triennale'!B44</f>
        <v>0</v>
      </c>
      <c r="C35" s="225"/>
      <c r="D35" s="225"/>
      <c r="E35" s="225"/>
      <c r="F35" s="225"/>
      <c r="G35" s="225"/>
      <c r="H35" s="225"/>
      <c r="I35" s="225"/>
      <c r="J35" s="225"/>
      <c r="K35" s="225"/>
      <c r="L35" s="225"/>
      <c r="M35" s="225"/>
      <c r="N35" s="217"/>
    </row>
    <row r="36" spans="1:15" x14ac:dyDescent="0.2">
      <c r="A36" s="218" t="str">
        <f>+'ce triennale'!A45</f>
        <v>Canone rai/siae</v>
      </c>
      <c r="B36" s="225">
        <f>+'ce triennale'!B45</f>
        <v>0</v>
      </c>
      <c r="C36" s="225"/>
      <c r="D36" s="225"/>
      <c r="E36" s="225"/>
      <c r="F36" s="225"/>
      <c r="G36" s="225"/>
      <c r="H36" s="225"/>
      <c r="I36" s="225"/>
      <c r="J36" s="225"/>
      <c r="K36" s="225"/>
      <c r="L36" s="225"/>
      <c r="M36" s="225"/>
      <c r="N36" s="217"/>
    </row>
    <row r="37" spans="1:15" x14ac:dyDescent="0.2">
      <c r="A37" s="218" t="str">
        <f>+'ce triennale'!A46</f>
        <v>IMU</v>
      </c>
      <c r="B37" s="225">
        <f>+'ce triennale'!B46</f>
        <v>0</v>
      </c>
      <c r="C37" s="225"/>
      <c r="D37" s="225"/>
      <c r="E37" s="225"/>
      <c r="F37" s="225"/>
      <c r="G37" s="225"/>
      <c r="H37" s="225"/>
      <c r="I37" s="225"/>
      <c r="J37" s="225"/>
      <c r="K37" s="225"/>
      <c r="L37" s="225"/>
      <c r="M37" s="225"/>
      <c r="N37" s="217"/>
    </row>
    <row r="38" spans="1:15" x14ac:dyDescent="0.2">
      <c r="A38" s="218" t="str">
        <f>+'ce triennale'!A47</f>
        <v>Omaggi a clienti</v>
      </c>
      <c r="B38" s="225">
        <f>+'ce triennale'!$B$47/12*(1+O6)</f>
        <v>0</v>
      </c>
      <c r="C38" s="225">
        <f>+'ce triennale'!$B$47/12*(1+P6)</f>
        <v>0</v>
      </c>
      <c r="D38" s="225">
        <f>+'ce triennale'!$B$47/12*(1+Q6)</f>
        <v>0</v>
      </c>
      <c r="E38" s="225">
        <f>+'ce triennale'!$B$47/12*(1+R6)</f>
        <v>0</v>
      </c>
      <c r="F38" s="225">
        <f>+'ce triennale'!$B$47/12*(1+S6)</f>
        <v>0</v>
      </c>
      <c r="G38" s="225">
        <f>+'ce triennale'!$B$47/12*(1+T6)</f>
        <v>0</v>
      </c>
      <c r="H38" s="225">
        <f>+'ce triennale'!$B$47/12*(1+U6)</f>
        <v>0</v>
      </c>
      <c r="I38" s="225">
        <f>+'ce triennale'!$B$47/12*(1+V6)</f>
        <v>0</v>
      </c>
      <c r="J38" s="225">
        <f>+'ce triennale'!$B$47/12*(1+W6)</f>
        <v>0</v>
      </c>
      <c r="K38" s="225">
        <f>+'ce triennale'!$B$47/12*(1+X6)</f>
        <v>0</v>
      </c>
      <c r="L38" s="225">
        <f>+'ce triennale'!$B$47/12*(1+Y6)</f>
        <v>0</v>
      </c>
      <c r="M38" s="225">
        <f>+'ce triennale'!$B$47/12*(1+Z6)</f>
        <v>0</v>
      </c>
      <c r="N38" s="217"/>
    </row>
    <row r="39" spans="1:15" x14ac:dyDescent="0.2">
      <c r="A39" s="218" t="str">
        <f>+'ce triennale'!A48</f>
        <v>Tassa rifiuti</v>
      </c>
      <c r="B39" s="225">
        <f>+'ce triennale'!B48</f>
        <v>0</v>
      </c>
      <c r="C39" s="225"/>
      <c r="D39" s="225"/>
      <c r="E39" s="225"/>
      <c r="F39" s="225"/>
      <c r="G39" s="225"/>
      <c r="H39" s="225"/>
      <c r="I39" s="225"/>
      <c r="J39" s="225"/>
      <c r="K39" s="225"/>
      <c r="L39" s="225"/>
      <c r="M39" s="225"/>
      <c r="N39" s="250" t="s">
        <v>273</v>
      </c>
      <c r="O39" s="251"/>
    </row>
    <row r="40" spans="1:15" x14ac:dyDescent="0.2">
      <c r="A40" s="218" t="str">
        <f>+'ce triennale'!A49</f>
        <v xml:space="preserve">Altre spese generali </v>
      </c>
      <c r="B40" s="225">
        <f>+'ce triennale'!$B$49/12</f>
        <v>0</v>
      </c>
      <c r="C40" s="225">
        <f>+'ce triennale'!$B$49/12</f>
        <v>0</v>
      </c>
      <c r="D40" s="225">
        <f>+'ce triennale'!$B$49/12</f>
        <v>0</v>
      </c>
      <c r="E40" s="225">
        <f>+'ce triennale'!$B$49/12</f>
        <v>0</v>
      </c>
      <c r="F40" s="225">
        <f>+'ce triennale'!$B$49/12</f>
        <v>0</v>
      </c>
      <c r="G40" s="225">
        <f>+'ce triennale'!$B$49/12</f>
        <v>0</v>
      </c>
      <c r="H40" s="225">
        <f>+'ce triennale'!$B$49/12</f>
        <v>0</v>
      </c>
      <c r="I40" s="225">
        <f>+'ce triennale'!$B$49/12</f>
        <v>0</v>
      </c>
      <c r="J40" s="225">
        <f>+'ce triennale'!$B$49/12</f>
        <v>0</v>
      </c>
      <c r="K40" s="225">
        <f>+'ce triennale'!$B$49/12</f>
        <v>0</v>
      </c>
      <c r="L40" s="225">
        <f>+'ce triennale'!$B$49/12</f>
        <v>0</v>
      </c>
      <c r="M40" s="225">
        <f>+'ce triennale'!$B$49/12</f>
        <v>0</v>
      </c>
      <c r="N40" s="230" t="s">
        <v>271</v>
      </c>
      <c r="O40" s="231" t="s">
        <v>272</v>
      </c>
    </row>
    <row r="41" spans="1:15" x14ac:dyDescent="0.2">
      <c r="A41" s="221" t="s">
        <v>268</v>
      </c>
      <c r="B41" s="225"/>
      <c r="C41" s="225">
        <f t="shared" ref="C41:M41" si="1">(B3/(1+$O$3)*$O$3)-((B7+B8+B9+B10+B11+B12+B13+B14+B15+B16+B20+B21+B22+B23+B24+B26+B29+B40)/(1+$O$6)*$O$6)</f>
        <v>100.66666666666652</v>
      </c>
      <c r="D41" s="225">
        <f t="shared" si="1"/>
        <v>175.36666666666702</v>
      </c>
      <c r="E41" s="225">
        <f t="shared" si="1"/>
        <v>225.16666666666652</v>
      </c>
      <c r="F41" s="225">
        <f t="shared" si="1"/>
        <v>175.36666666666702</v>
      </c>
      <c r="G41" s="225">
        <f t="shared" si="1"/>
        <v>225.16666666666652</v>
      </c>
      <c r="H41" s="225">
        <f t="shared" si="1"/>
        <v>225.16666666666652</v>
      </c>
      <c r="I41" s="225">
        <f t="shared" si="1"/>
        <v>274.9666666666667</v>
      </c>
      <c r="J41" s="225">
        <f t="shared" si="1"/>
        <v>100.66666666666652</v>
      </c>
      <c r="K41" s="225">
        <f t="shared" si="1"/>
        <v>175.36666666666702</v>
      </c>
      <c r="L41" s="225">
        <f t="shared" si="1"/>
        <v>175.36666666666702</v>
      </c>
      <c r="M41" s="225">
        <f t="shared" si="1"/>
        <v>225.16666666666652</v>
      </c>
      <c r="N41" s="230">
        <f>SUM(C41:M41)</f>
        <v>2078.4333333333338</v>
      </c>
      <c r="O41" s="230">
        <f>+'piano invest'!B29</f>
        <v>0</v>
      </c>
    </row>
    <row r="42" spans="1:15" x14ac:dyDescent="0.2">
      <c r="A42" s="218" t="s">
        <v>261</v>
      </c>
      <c r="B42" s="225">
        <f>+'fonti copertura investim'!$B$30</f>
        <v>5860.4159453821621</v>
      </c>
      <c r="C42" s="225">
        <f>+'fonti copertura investim'!$B$30</f>
        <v>5860.4159453821621</v>
      </c>
      <c r="D42" s="225">
        <f>+'fonti copertura investim'!$B$30</f>
        <v>5860.4159453821621</v>
      </c>
      <c r="E42" s="225">
        <f>+'fonti copertura investim'!$B$30</f>
        <v>5860.4159453821621</v>
      </c>
      <c r="F42" s="225">
        <f>+'fonti copertura investim'!$B$30</f>
        <v>5860.4159453821621</v>
      </c>
      <c r="G42" s="225">
        <f>+'fonti copertura investim'!$B$30</f>
        <v>5860.4159453821621</v>
      </c>
      <c r="H42" s="225">
        <f>+'fonti copertura investim'!$B$30</f>
        <v>5860.4159453821621</v>
      </c>
      <c r="I42" s="225">
        <f>+'fonti copertura investim'!$B$30</f>
        <v>5860.4159453821621</v>
      </c>
      <c r="J42" s="225">
        <f>+'fonti copertura investim'!$B$30</f>
        <v>5860.4159453821621</v>
      </c>
      <c r="K42" s="225">
        <f>+'fonti copertura investim'!$B$30</f>
        <v>5860.4159453821621</v>
      </c>
      <c r="L42" s="225">
        <f>+'fonti copertura investim'!$B$30</f>
        <v>5860.4159453821621</v>
      </c>
      <c r="M42" s="225">
        <f>+'fonti copertura investim'!$B$30</f>
        <v>5860.4159453821621</v>
      </c>
      <c r="N42" s="217"/>
    </row>
    <row r="43" spans="1:15" x14ac:dyDescent="0.2">
      <c r="A43" s="218" t="s">
        <v>260</v>
      </c>
      <c r="B43" s="225">
        <f>+'fonti copertura investim'!$D$30</f>
        <v>0</v>
      </c>
      <c r="C43" s="225">
        <f>+'fonti copertura investim'!$D$30</f>
        <v>0</v>
      </c>
      <c r="D43" s="225">
        <f>+'fonti copertura investim'!$D$30</f>
        <v>0</v>
      </c>
      <c r="E43" s="225">
        <f>+'fonti copertura investim'!$D$30</f>
        <v>0</v>
      </c>
      <c r="F43" s="225">
        <f>+'fonti copertura investim'!$D$30</f>
        <v>0</v>
      </c>
      <c r="G43" s="225">
        <f>+'fonti copertura investim'!$D$30</f>
        <v>0</v>
      </c>
      <c r="H43" s="225">
        <f>+'fonti copertura investim'!$D$30</f>
        <v>0</v>
      </c>
      <c r="I43" s="225">
        <f>+'fonti copertura investim'!$D$30</f>
        <v>0</v>
      </c>
      <c r="J43" s="225">
        <f>+'fonti copertura investim'!$D$30</f>
        <v>0</v>
      </c>
      <c r="K43" s="225">
        <f>+'fonti copertura investim'!$D$30</f>
        <v>0</v>
      </c>
      <c r="L43" s="225">
        <f>+'fonti copertura investim'!$D$30</f>
        <v>0</v>
      </c>
      <c r="M43" s="225">
        <f>+'fonti copertura investim'!$D$30</f>
        <v>0</v>
      </c>
      <c r="N43" s="217"/>
    </row>
    <row r="44" spans="1:15" x14ac:dyDescent="0.2">
      <c r="A44" s="222" t="s">
        <v>267</v>
      </c>
      <c r="B44" s="227">
        <f t="shared" ref="B44:M44" si="2">SUM(B7:B43)</f>
        <v>13123.082612048829</v>
      </c>
      <c r="C44" s="227">
        <f t="shared" si="2"/>
        <v>16902.049278715491</v>
      </c>
      <c r="D44" s="227">
        <f t="shared" si="2"/>
        <v>19428.949278715496</v>
      </c>
      <c r="E44" s="227">
        <f t="shared" si="2"/>
        <v>17026.549278715491</v>
      </c>
      <c r="F44" s="227">
        <f t="shared" si="2"/>
        <v>19428.949278715496</v>
      </c>
      <c r="G44" s="227">
        <f t="shared" si="2"/>
        <v>19478.749278715495</v>
      </c>
      <c r="H44" s="227">
        <f t="shared" si="2"/>
        <v>21930.949278715496</v>
      </c>
      <c r="I44" s="227">
        <f t="shared" si="2"/>
        <v>13398.049278715494</v>
      </c>
      <c r="J44" s="227">
        <f t="shared" si="2"/>
        <v>16902.049278715491</v>
      </c>
      <c r="K44" s="227">
        <f t="shared" si="2"/>
        <v>16976.749278715492</v>
      </c>
      <c r="L44" s="227">
        <f t="shared" si="2"/>
        <v>19428.949278715496</v>
      </c>
      <c r="M44" s="227">
        <f t="shared" si="2"/>
        <v>14574.349278715494</v>
      </c>
      <c r="N44" s="217"/>
    </row>
    <row r="45" spans="1:15" x14ac:dyDescent="0.2">
      <c r="A45" s="223" t="s">
        <v>269</v>
      </c>
      <c r="B45" s="228">
        <f t="shared" ref="B45:M45" si="3">+B5-B44</f>
        <v>-3693.0826120488291</v>
      </c>
      <c r="C45" s="228">
        <f t="shared" si="3"/>
        <v>-1814.0492787154926</v>
      </c>
      <c r="D45" s="228">
        <f t="shared" si="3"/>
        <v>-568.94927871549589</v>
      </c>
      <c r="E45" s="228">
        <f t="shared" si="3"/>
        <v>-1938.5492787154926</v>
      </c>
      <c r="F45" s="228">
        <f t="shared" si="3"/>
        <v>-568.94927871549589</v>
      </c>
      <c r="G45" s="228">
        <f t="shared" si="3"/>
        <v>-618.74927871549517</v>
      </c>
      <c r="H45" s="228">
        <f t="shared" si="3"/>
        <v>701.05072128450411</v>
      </c>
      <c r="I45" s="228">
        <f t="shared" si="3"/>
        <v>-3968.0492787154944</v>
      </c>
      <c r="J45" s="228">
        <f t="shared" si="3"/>
        <v>-1814.0492787154926</v>
      </c>
      <c r="K45" s="228">
        <f t="shared" si="3"/>
        <v>-1888.7492787154933</v>
      </c>
      <c r="L45" s="228">
        <f t="shared" si="3"/>
        <v>-568.94927871549589</v>
      </c>
      <c r="M45" s="228">
        <f t="shared" si="3"/>
        <v>-3258.3492787154937</v>
      </c>
      <c r="N45" s="217"/>
    </row>
    <row r="46" spans="1:15" ht="15" x14ac:dyDescent="0.25">
      <c r="A46" s="224" t="s">
        <v>270</v>
      </c>
      <c r="B46" s="229">
        <f>+B45</f>
        <v>-3693.0826120488291</v>
      </c>
      <c r="C46" s="229">
        <f>+B46+C45</f>
        <v>-5507.1318907643217</v>
      </c>
      <c r="D46" s="229">
        <f t="shared" ref="D46:M46" si="4">+C46+D45</f>
        <v>-6076.0811694798176</v>
      </c>
      <c r="E46" s="229">
        <f t="shared" si="4"/>
        <v>-8014.6304481953102</v>
      </c>
      <c r="F46" s="229">
        <f t="shared" si="4"/>
        <v>-8583.5797269108061</v>
      </c>
      <c r="G46" s="229">
        <f t="shared" si="4"/>
        <v>-9202.3290056263013</v>
      </c>
      <c r="H46" s="229">
        <f t="shared" si="4"/>
        <v>-8501.2782843417972</v>
      </c>
      <c r="I46" s="229">
        <f t="shared" si="4"/>
        <v>-12469.327563057292</v>
      </c>
      <c r="J46" s="229">
        <f t="shared" si="4"/>
        <v>-14283.376841772784</v>
      </c>
      <c r="K46" s="229">
        <f t="shared" si="4"/>
        <v>-16172.126120488278</v>
      </c>
      <c r="L46" s="229">
        <f t="shared" si="4"/>
        <v>-16741.075399203772</v>
      </c>
      <c r="M46" s="229">
        <f t="shared" si="4"/>
        <v>-19999.424677919265</v>
      </c>
    </row>
  </sheetData>
  <mergeCells count="1">
    <mergeCell ref="N39:O39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B1:S84"/>
  <sheetViews>
    <sheetView showGridLines="0" zoomScaleNormal="100" workbookViewId="0">
      <selection activeCell="K38" sqref="K38"/>
    </sheetView>
  </sheetViews>
  <sheetFormatPr defaultRowHeight="15.75" x14ac:dyDescent="0.25"/>
  <cols>
    <col min="1" max="1" width="1" style="51" customWidth="1"/>
    <col min="2" max="2" width="60.7109375" style="51" customWidth="1"/>
    <col min="3" max="3" width="9.7109375" style="51" bestFit="1" customWidth="1"/>
    <col min="4" max="4" width="9.5703125" style="51" bestFit="1" customWidth="1"/>
    <col min="5" max="5" width="9.7109375" style="51" bestFit="1" customWidth="1"/>
    <col min="6" max="6" width="8.42578125" style="51" bestFit="1" customWidth="1"/>
    <col min="7" max="7" width="9.7109375" style="51" bestFit="1" customWidth="1"/>
    <col min="8" max="9" width="8.42578125" style="51" bestFit="1" customWidth="1"/>
    <col min="10" max="10" width="9.140625" style="51"/>
    <col min="11" max="11" width="64" style="51" bestFit="1" customWidth="1"/>
    <col min="12" max="12" width="9.28515625" style="51" bestFit="1" customWidth="1"/>
    <col min="13" max="14" width="8.28515625" style="51" bestFit="1" customWidth="1"/>
    <col min="15" max="16384" width="9.140625" style="51"/>
  </cols>
  <sheetData>
    <row r="1" spans="2:9" x14ac:dyDescent="0.25">
      <c r="B1" s="143" t="s">
        <v>224</v>
      </c>
    </row>
    <row r="2" spans="2:9" x14ac:dyDescent="0.25">
      <c r="B2" s="143" t="s">
        <v>225</v>
      </c>
    </row>
    <row r="3" spans="2:9" x14ac:dyDescent="0.25">
      <c r="B3" s="145" t="s">
        <v>227</v>
      </c>
    </row>
    <row r="4" spans="2:9" ht="16.5" thickBot="1" x14ac:dyDescent="0.3"/>
    <row r="5" spans="2:9" ht="16.5" thickBot="1" x14ac:dyDescent="0.3">
      <c r="B5" s="51" t="s">
        <v>202</v>
      </c>
      <c r="C5" s="188">
        <v>60</v>
      </c>
    </row>
    <row r="6" spans="2:9" ht="16.5" thickBot="1" x14ac:dyDescent="0.3">
      <c r="B6" s="51" t="s">
        <v>203</v>
      </c>
      <c r="C6" s="189">
        <v>30</v>
      </c>
    </row>
    <row r="8" spans="2:9" x14ac:dyDescent="0.25">
      <c r="B8" s="55" t="s">
        <v>199</v>
      </c>
      <c r="C8" s="191" t="str">
        <f>+C14</f>
        <v>Anno 1</v>
      </c>
      <c r="D8" s="191" t="str">
        <f>+E14</f>
        <v>Anno 2</v>
      </c>
      <c r="E8" s="191" t="str">
        <f>+G14</f>
        <v>Anno 3</v>
      </c>
    </row>
    <row r="9" spans="2:9" x14ac:dyDescent="0.25">
      <c r="B9" s="55" t="s">
        <v>200</v>
      </c>
      <c r="C9" s="195">
        <f>+C26</f>
        <v>42.4</v>
      </c>
      <c r="D9" s="195">
        <f>+E26</f>
        <v>30.4</v>
      </c>
      <c r="E9" s="195">
        <f>+G26</f>
        <v>30.4</v>
      </c>
    </row>
    <row r="10" spans="2:9" x14ac:dyDescent="0.25">
      <c r="B10" s="119" t="s">
        <v>201</v>
      </c>
      <c r="C10" s="195">
        <f>+C40</f>
        <v>229.89122619761139</v>
      </c>
      <c r="D10" s="195">
        <f>+E40</f>
        <v>191.37595592349663</v>
      </c>
      <c r="E10" s="195">
        <f>+G40</f>
        <v>122.40472066229397</v>
      </c>
    </row>
    <row r="11" spans="2:9" x14ac:dyDescent="0.25">
      <c r="B11" s="193" t="s">
        <v>231</v>
      </c>
      <c r="C11" s="192">
        <f>IF(C9&lt;C10,C10-C9,0)</f>
        <v>187.49122619761138</v>
      </c>
      <c r="D11" s="192">
        <f>IF(D9&lt;D10,D10-D9,0)</f>
        <v>160.97595592349663</v>
      </c>
      <c r="E11" s="192">
        <f>IF(E9&lt;E10,E10-E9,0)</f>
        <v>92.004720662293977</v>
      </c>
    </row>
    <row r="12" spans="2:9" x14ac:dyDescent="0.25">
      <c r="B12" s="193" t="s">
        <v>230</v>
      </c>
      <c r="C12" s="192">
        <f>IF(C9&gt;C10,C9-C10,0)</f>
        <v>0</v>
      </c>
      <c r="D12" s="192">
        <f>IF(D9&gt;D10,D9-D10,0)</f>
        <v>0</v>
      </c>
      <c r="E12" s="192">
        <f>IF(E9&gt;E10,E9-E10,0)</f>
        <v>0</v>
      </c>
    </row>
    <row r="13" spans="2:9" s="142" customFormat="1" x14ac:dyDescent="0.25">
      <c r="C13" s="143"/>
      <c r="D13" s="143"/>
      <c r="E13" s="143"/>
      <c r="F13" s="143"/>
      <c r="G13" s="143"/>
      <c r="H13" s="143"/>
      <c r="I13" s="143"/>
    </row>
    <row r="14" spans="2:9" ht="26.25" customHeight="1" x14ac:dyDescent="0.25">
      <c r="B14" s="52" t="s">
        <v>0</v>
      </c>
      <c r="C14" s="252" t="s">
        <v>233</v>
      </c>
      <c r="D14" s="253"/>
      <c r="E14" s="252" t="s">
        <v>234</v>
      </c>
      <c r="F14" s="253"/>
      <c r="G14" s="252" t="s">
        <v>235</v>
      </c>
      <c r="H14" s="254"/>
      <c r="I14" s="253"/>
    </row>
    <row r="15" spans="2:9" x14ac:dyDescent="0.25">
      <c r="B15" s="190" t="s">
        <v>66</v>
      </c>
      <c r="C15" s="53" t="s">
        <v>1</v>
      </c>
      <c r="D15" s="53" t="s">
        <v>2</v>
      </c>
      <c r="E15" s="53" t="s">
        <v>1</v>
      </c>
      <c r="F15" s="53" t="s">
        <v>2</v>
      </c>
      <c r="G15" s="53" t="s">
        <v>1</v>
      </c>
      <c r="H15" s="53" t="s">
        <v>2</v>
      </c>
      <c r="I15" s="53" t="s">
        <v>2</v>
      </c>
    </row>
    <row r="16" spans="2:9" x14ac:dyDescent="0.25">
      <c r="B16" s="54" t="s">
        <v>3</v>
      </c>
      <c r="C16" s="55"/>
      <c r="D16" s="56"/>
      <c r="E16" s="55"/>
      <c r="F16" s="56"/>
      <c r="G16" s="55"/>
      <c r="H16" s="56"/>
      <c r="I16" s="56"/>
    </row>
    <row r="17" spans="2:10" x14ac:dyDescent="0.25">
      <c r="B17" s="58" t="s">
        <v>4</v>
      </c>
      <c r="C17" s="59"/>
      <c r="D17" s="57">
        <f>IF(C22=0,0,C17/C$26)</f>
        <v>0</v>
      </c>
      <c r="E17" s="59"/>
      <c r="F17" s="57">
        <f>IF(E22=0,0,E17/E$26)</f>
        <v>0</v>
      </c>
      <c r="G17" s="59"/>
      <c r="H17" s="57">
        <f>IF(G22=0,0,G17/G$26)</f>
        <v>0</v>
      </c>
      <c r="I17" s="57">
        <f>IF(H22=0,0,H17/H$26)</f>
        <v>0</v>
      </c>
    </row>
    <row r="18" spans="2:10" x14ac:dyDescent="0.25">
      <c r="B18" s="58" t="s">
        <v>5</v>
      </c>
      <c r="C18" s="60">
        <f>C19+C20+C21</f>
        <v>32.799999999999997</v>
      </c>
      <c r="D18" s="57">
        <f>IF(C26=0,0,C18/C$26)</f>
        <v>0.7735849056603773</v>
      </c>
      <c r="E18" s="60">
        <f>E19+E20+E21</f>
        <v>32.799999999999997</v>
      </c>
      <c r="F18" s="57">
        <f>IF(E26=0,0,E18/E$26)</f>
        <v>1.0789473684210527</v>
      </c>
      <c r="G18" s="60">
        <f>G19+G20+G21</f>
        <v>32.799999999999997</v>
      </c>
      <c r="H18" s="57">
        <f>IF(G26=0,0,G18/G$26)</f>
        <v>1.0789473684210527</v>
      </c>
      <c r="I18" s="57">
        <f>IF(H26=0,0,H18/H$26)</f>
        <v>1.0789473684210527</v>
      </c>
    </row>
    <row r="19" spans="2:10" x14ac:dyDescent="0.25">
      <c r="B19" s="61" t="s">
        <v>6</v>
      </c>
      <c r="C19" s="194"/>
      <c r="D19" s="63"/>
      <c r="E19" s="194"/>
      <c r="F19" s="63"/>
      <c r="G19" s="194"/>
      <c r="H19" s="62"/>
      <c r="I19" s="62"/>
    </row>
    <row r="20" spans="2:10" x14ac:dyDescent="0.25">
      <c r="B20" s="61" t="s">
        <v>7</v>
      </c>
      <c r="C20" s="62">
        <f>+C42/360*$C$5*1.2</f>
        <v>32.799999999999997</v>
      </c>
      <c r="D20" s="63"/>
      <c r="E20" s="62">
        <f>+E42/360*$C$5*1.2</f>
        <v>32.799999999999997</v>
      </c>
      <c r="F20" s="63"/>
      <c r="G20" s="62">
        <f>+G42/360*$C$5*1.2</f>
        <v>32.799999999999997</v>
      </c>
      <c r="H20" s="62"/>
      <c r="I20" s="62"/>
      <c r="J20" s="65"/>
    </row>
    <row r="21" spans="2:10" x14ac:dyDescent="0.25">
      <c r="B21" s="61" t="s">
        <v>8</v>
      </c>
      <c r="C21" s="62"/>
      <c r="D21" s="63"/>
      <c r="E21" s="62"/>
      <c r="F21" s="63"/>
      <c r="G21" s="62"/>
      <c r="H21" s="62"/>
      <c r="I21" s="62"/>
      <c r="J21" s="65"/>
    </row>
    <row r="22" spans="2:10" x14ac:dyDescent="0.25">
      <c r="B22" s="58" t="s">
        <v>9</v>
      </c>
      <c r="C22" s="60">
        <f>C23+C24+C25</f>
        <v>9.6</v>
      </c>
      <c r="D22" s="57">
        <f>IF(C26=0,0,+C22/C$26)</f>
        <v>0.22641509433962265</v>
      </c>
      <c r="E22" s="60">
        <f>E23+E24+E25</f>
        <v>-2.4</v>
      </c>
      <c r="F22" s="57">
        <f>IF(E26=0,0,+E22/E$26)</f>
        <v>-7.8947368421052627E-2</v>
      </c>
      <c r="G22" s="60">
        <f>G23+G24+G25</f>
        <v>-2.4</v>
      </c>
      <c r="H22" s="57">
        <f>IF(G26=0,0,+G22/G$26)</f>
        <v>-7.8947368421052627E-2</v>
      </c>
      <c r="I22" s="57">
        <f>IF(H26=0,0,+H22/H$26)</f>
        <v>-7.8947368421052627E-2</v>
      </c>
    </row>
    <row r="23" spans="2:10" s="67" customFormat="1" x14ac:dyDescent="0.25">
      <c r="B23" s="61" t="s">
        <v>10</v>
      </c>
      <c r="C23" s="62">
        <f>+(ammort!B24-ammort!G24)/1000</f>
        <v>0</v>
      </c>
      <c r="D23" s="66"/>
      <c r="E23" s="62">
        <f>+(ammort!C24-ammort!G24-ammort!H24)/1000</f>
        <v>0</v>
      </c>
      <c r="F23" s="66"/>
      <c r="G23" s="62">
        <f>+(ammort!D24-ammort!G24-ammort!H24-ammort!I24)/1000</f>
        <v>0</v>
      </c>
      <c r="H23" s="62"/>
      <c r="I23" s="62"/>
    </row>
    <row r="24" spans="2:10" s="67" customFormat="1" x14ac:dyDescent="0.25">
      <c r="B24" s="61" t="s">
        <v>11</v>
      </c>
      <c r="C24" s="62">
        <f>+(ammort!B15-ammort!G15)/1000</f>
        <v>9.6</v>
      </c>
      <c r="D24" s="66"/>
      <c r="E24" s="62">
        <f>+(ammort!C15-ammort!G15-ammort!H15)/1000</f>
        <v>-2.4</v>
      </c>
      <c r="F24" s="66"/>
      <c r="G24" s="62">
        <f>+(ammort!D15-ammort!G15-ammort!H15-ammort!I15)/1000</f>
        <v>-2.4</v>
      </c>
      <c r="H24" s="62"/>
      <c r="I24" s="62"/>
    </row>
    <row r="25" spans="2:10" s="67" customFormat="1" x14ac:dyDescent="0.25">
      <c r="B25" s="61" t="s">
        <v>12</v>
      </c>
      <c r="C25" s="62"/>
      <c r="D25" s="66"/>
      <c r="E25" s="62"/>
      <c r="F25" s="66"/>
      <c r="G25" s="62"/>
      <c r="H25" s="62"/>
      <c r="I25" s="62"/>
    </row>
    <row r="26" spans="2:10" x14ac:dyDescent="0.25">
      <c r="B26" s="68" t="s">
        <v>13</v>
      </c>
      <c r="C26" s="69">
        <f>SUM(C17,C18,C22)</f>
        <v>42.4</v>
      </c>
      <c r="D26" s="57">
        <f>IF(C26=0,0,C26/C$26)</f>
        <v>1</v>
      </c>
      <c r="E26" s="69">
        <f>SUM(E17,E18,E22)</f>
        <v>30.4</v>
      </c>
      <c r="F26" s="57">
        <f>IF(E26=0,0,E26/E$26)</f>
        <v>1</v>
      </c>
      <c r="G26" s="69">
        <f>SUM(G17,G18,G22)</f>
        <v>30.4</v>
      </c>
      <c r="H26" s="57">
        <f>IF(G26=0,0,G26/G$26)</f>
        <v>1</v>
      </c>
      <c r="I26" s="57">
        <f>IF(H26=0,0,H26/H$26)</f>
        <v>1</v>
      </c>
    </row>
    <row r="27" spans="2:10" x14ac:dyDescent="0.25">
      <c r="B27" s="58" t="s">
        <v>14</v>
      </c>
      <c r="C27" s="60">
        <f>C28+C29+C30</f>
        <v>10.180000000000001</v>
      </c>
      <c r="D27" s="57">
        <f>IF(C40=0,0,+C27/C$40)</f>
        <v>4.4281811743652241E-2</v>
      </c>
      <c r="E27" s="60">
        <f>E28+E29+E30</f>
        <v>0.47999999999999993</v>
      </c>
      <c r="F27" s="57">
        <f>IF(E40=0,0,+E27/E$40)</f>
        <v>2.5081520700117729E-3</v>
      </c>
      <c r="G27" s="60">
        <f>G28+G29+G30</f>
        <v>0.47999999999999993</v>
      </c>
      <c r="H27" s="57">
        <f>IF(G40=0,0,+G27/G$40)</f>
        <v>3.9214173881764432E-3</v>
      </c>
      <c r="I27" s="57">
        <f>IF(H40=0,0,+H27/H$40)</f>
        <v>3.9214173881764432E-3</v>
      </c>
    </row>
    <row r="28" spans="2:10" x14ac:dyDescent="0.25">
      <c r="B28" s="61" t="s">
        <v>15</v>
      </c>
      <c r="C28" s="62">
        <f>+(C47+C48)/360*$C$6*1.2</f>
        <v>10.180000000000001</v>
      </c>
      <c r="D28" s="63"/>
      <c r="E28" s="62">
        <f>+(E47+E48)/360*$C$6*1.2</f>
        <v>0.47999999999999993</v>
      </c>
      <c r="F28" s="63"/>
      <c r="G28" s="62">
        <f>+(G47+G48)/360*$C$6*1.2</f>
        <v>0.47999999999999993</v>
      </c>
      <c r="H28" s="62"/>
      <c r="I28" s="62"/>
    </row>
    <row r="29" spans="2:10" x14ac:dyDescent="0.25">
      <c r="B29" s="61" t="s">
        <v>16</v>
      </c>
      <c r="C29" s="194"/>
      <c r="D29" s="63"/>
      <c r="E29" s="194"/>
      <c r="F29" s="63"/>
      <c r="G29" s="194"/>
      <c r="H29" s="62"/>
      <c r="I29" s="62"/>
    </row>
    <row r="30" spans="2:10" x14ac:dyDescent="0.25">
      <c r="B30" s="61" t="s">
        <v>17</v>
      </c>
      <c r="C30" s="62"/>
      <c r="D30" s="63"/>
      <c r="E30" s="62"/>
      <c r="F30" s="63"/>
      <c r="G30" s="62"/>
      <c r="H30" s="62"/>
      <c r="I30" s="62"/>
    </row>
    <row r="31" spans="2:10" x14ac:dyDescent="0.25">
      <c r="B31" s="58" t="s">
        <v>18</v>
      </c>
      <c r="C31" s="70">
        <f>C32+C33+C34</f>
        <v>193.39372619761136</v>
      </c>
      <c r="D31" s="57">
        <f>IF(C40=0,0,+C31/C$40)</f>
        <v>0.84124013515580076</v>
      </c>
      <c r="E31" s="70">
        <f>E32+E33+E34</f>
        <v>112.09376081926757</v>
      </c>
      <c r="F31" s="57">
        <f>IF(E40=0,0,+E31/E$40)</f>
        <v>0.58572541298802205</v>
      </c>
      <c r="G31" s="70">
        <f>G32+G33+G34</f>
        <v>41.768769474681612</v>
      </c>
      <c r="H31" s="57">
        <f>IF(G40=0,0,+G31/G$40)</f>
        <v>0.34123495604322907</v>
      </c>
      <c r="I31" s="57">
        <f>IF(H40=0,0,+H31/H$40)</f>
        <v>0.34123495604322907</v>
      </c>
    </row>
    <row r="32" spans="2:10" x14ac:dyDescent="0.25">
      <c r="B32" s="61" t="s">
        <v>19</v>
      </c>
      <c r="C32" s="62">
        <f>+('fonti copertura investim'!B33+'fonti copertura investim'!D33)/1000</f>
        <v>193.39372619761136</v>
      </c>
      <c r="D32" s="63"/>
      <c r="E32" s="62">
        <f>+('fonti copertura investim'!B35+'fonti copertura investim'!D35+'fonti copertura investim'!B49)/1000</f>
        <v>112.09376081926757</v>
      </c>
      <c r="F32" s="63"/>
      <c r="G32" s="62">
        <f>+('fonti copertura investim'!B37+'fonti copertura investim'!D37+'fonti copertura investim'!B51+'fonti copertura investim'!B62)/1000</f>
        <v>41.768769474681612</v>
      </c>
      <c r="H32" s="62"/>
      <c r="I32" s="62"/>
    </row>
    <row r="33" spans="2:9" x14ac:dyDescent="0.25">
      <c r="B33" s="61" t="s">
        <v>20</v>
      </c>
      <c r="C33" s="62">
        <f>+C51/13.5</f>
        <v>0</v>
      </c>
      <c r="D33" s="63"/>
      <c r="E33" s="62">
        <f>+E51/13.5+C33</f>
        <v>0</v>
      </c>
      <c r="F33" s="63"/>
      <c r="G33" s="62">
        <f>+G51/13.5+E33</f>
        <v>0</v>
      </c>
      <c r="H33" s="62"/>
      <c r="I33" s="62"/>
    </row>
    <row r="34" spans="2:9" x14ac:dyDescent="0.25">
      <c r="B34" s="61" t="s">
        <v>21</v>
      </c>
      <c r="C34" s="62"/>
      <c r="D34" s="63"/>
      <c r="E34" s="62"/>
      <c r="F34" s="63"/>
      <c r="G34" s="62"/>
      <c r="H34" s="62"/>
      <c r="I34" s="62"/>
    </row>
    <row r="35" spans="2:9" x14ac:dyDescent="0.25">
      <c r="B35" s="58" t="s">
        <v>22</v>
      </c>
      <c r="C35" s="70">
        <f>C36+C37+C38+C39</f>
        <v>26.31750000000001</v>
      </c>
      <c r="D35" s="57">
        <f>IF(C40=0,0,+C35/C$40)</f>
        <v>0.11447805310054697</v>
      </c>
      <c r="E35" s="70">
        <f>E36+E37+E38+E39</f>
        <v>78.802195104229071</v>
      </c>
      <c r="F35" s="57">
        <f>IF(E40=0,0,+E35/E$40)</f>
        <v>0.41176643494196624</v>
      </c>
      <c r="G35" s="70">
        <f>G36+G37+G38+G39</f>
        <v>80.155951187612359</v>
      </c>
      <c r="H35" s="57">
        <f>IF(G40=0,0,+G35/G$40)</f>
        <v>0.65484362656859452</v>
      </c>
      <c r="I35" s="57">
        <f>IF(H40=0,0,+H35/H$40)</f>
        <v>0.65484362656859452</v>
      </c>
    </row>
    <row r="36" spans="2:9" x14ac:dyDescent="0.25">
      <c r="B36" s="61" t="s">
        <v>23</v>
      </c>
      <c r="C36" s="62">
        <f>+'fonti copertura investim'!B5/1000</f>
        <v>0</v>
      </c>
      <c r="D36" s="63"/>
      <c r="E36" s="62">
        <f>+'fonti copertura investim'!C5/1000</f>
        <v>0</v>
      </c>
      <c r="F36" s="63"/>
      <c r="G36" s="62">
        <f>+'fonti copertura investim'!D5/1000</f>
        <v>0</v>
      </c>
      <c r="H36" s="62"/>
      <c r="I36" s="62"/>
    </row>
    <row r="37" spans="2:9" x14ac:dyDescent="0.25">
      <c r="B37" s="61" t="s">
        <v>24</v>
      </c>
      <c r="C37" s="62"/>
      <c r="D37" s="63"/>
      <c r="E37" s="62"/>
      <c r="F37" s="63"/>
      <c r="G37" s="62"/>
      <c r="H37" s="62"/>
      <c r="I37" s="62"/>
    </row>
    <row r="38" spans="2:9" x14ac:dyDescent="0.25">
      <c r="B38" s="61" t="s">
        <v>25</v>
      </c>
      <c r="C38" s="62"/>
      <c r="D38" s="63"/>
      <c r="E38" s="62"/>
      <c r="F38" s="63"/>
      <c r="G38" s="62"/>
      <c r="H38" s="62"/>
      <c r="I38" s="62"/>
    </row>
    <row r="39" spans="2:9" x14ac:dyDescent="0.25">
      <c r="B39" s="61" t="s">
        <v>26</v>
      </c>
      <c r="C39" s="62">
        <f>+C65</f>
        <v>26.31750000000001</v>
      </c>
      <c r="D39" s="63"/>
      <c r="E39" s="62">
        <f>+E65</f>
        <v>78.802195104229071</v>
      </c>
      <c r="F39" s="63"/>
      <c r="G39" s="62">
        <f>+G65</f>
        <v>80.155951187612359</v>
      </c>
      <c r="H39" s="62"/>
      <c r="I39" s="62"/>
    </row>
    <row r="40" spans="2:9" x14ac:dyDescent="0.25">
      <c r="B40" s="68" t="s">
        <v>27</v>
      </c>
      <c r="C40" s="69">
        <f>SUM(C27,C31,C35)</f>
        <v>229.89122619761139</v>
      </c>
      <c r="D40" s="57">
        <f>IF(C40=0,0,+C40/C$40)</f>
        <v>1</v>
      </c>
      <c r="E40" s="69">
        <f>SUM(E27,E31,E35)</f>
        <v>191.37595592349663</v>
      </c>
      <c r="F40" s="57">
        <f>IF(E40=0,0,+E40/E$40)</f>
        <v>1</v>
      </c>
      <c r="G40" s="69">
        <f>SUM(G27,G31,G35)</f>
        <v>122.40472066229397</v>
      </c>
      <c r="H40" s="57">
        <f>IF(G40=0,0,+G40/G$40)</f>
        <v>1</v>
      </c>
      <c r="I40" s="57">
        <f>IF(H40=0,0,+H40/H$40)</f>
        <v>1</v>
      </c>
    </row>
    <row r="41" spans="2:9" x14ac:dyDescent="0.25">
      <c r="B41" s="71" t="s">
        <v>28</v>
      </c>
      <c r="C41" s="55"/>
      <c r="D41" s="56"/>
      <c r="E41" s="55"/>
      <c r="F41" s="56"/>
      <c r="G41" s="55"/>
      <c r="H41" s="56"/>
      <c r="I41" s="56"/>
    </row>
    <row r="42" spans="2:9" x14ac:dyDescent="0.25">
      <c r="B42" s="72" t="s">
        <v>29</v>
      </c>
      <c r="C42" s="62">
        <f>+'ce triennale'!B5/1000</f>
        <v>164</v>
      </c>
      <c r="D42" s="63"/>
      <c r="E42" s="62">
        <f>+'ce triennale'!D5/1000</f>
        <v>164</v>
      </c>
      <c r="F42" s="63"/>
      <c r="G42" s="62">
        <f>+'ce triennale'!F5/1000</f>
        <v>164</v>
      </c>
      <c r="H42" s="62"/>
      <c r="I42" s="62"/>
    </row>
    <row r="43" spans="2:9" x14ac:dyDescent="0.25">
      <c r="B43" s="72" t="s">
        <v>30</v>
      </c>
      <c r="C43" s="64"/>
      <c r="D43" s="63"/>
      <c r="E43" s="64"/>
      <c r="F43" s="63"/>
      <c r="G43" s="64"/>
      <c r="H43" s="64"/>
      <c r="I43" s="64"/>
    </row>
    <row r="44" spans="2:9" x14ac:dyDescent="0.25">
      <c r="B44" s="61" t="s">
        <v>31</v>
      </c>
      <c r="C44" s="62"/>
      <c r="D44" s="63"/>
      <c r="E44" s="62"/>
      <c r="F44" s="63"/>
      <c r="G44" s="62"/>
      <c r="H44" s="62"/>
      <c r="I44" s="62"/>
    </row>
    <row r="45" spans="2:9" x14ac:dyDescent="0.25">
      <c r="B45" s="61" t="s">
        <v>32</v>
      </c>
      <c r="C45" s="62">
        <f>+'ce triennale'!B6/1000</f>
        <v>0</v>
      </c>
      <c r="D45" s="63"/>
      <c r="E45" s="62">
        <f>+'ce triennale'!D6/1000</f>
        <v>0</v>
      </c>
      <c r="F45" s="63"/>
      <c r="G45" s="62">
        <f>+'ce triennale'!F6/1000</f>
        <v>0</v>
      </c>
      <c r="H45" s="62"/>
      <c r="I45" s="62"/>
    </row>
    <row r="46" spans="2:9" x14ac:dyDescent="0.25">
      <c r="B46" s="73" t="s">
        <v>33</v>
      </c>
      <c r="C46" s="69">
        <f>C42+C44+C45</f>
        <v>164</v>
      </c>
      <c r="D46" s="57"/>
      <c r="E46" s="69">
        <f>E42+E44+E45</f>
        <v>164</v>
      </c>
      <c r="F46" s="57"/>
      <c r="G46" s="69">
        <f>G42+G44+G45</f>
        <v>164</v>
      </c>
      <c r="H46" s="57"/>
      <c r="I46" s="57"/>
    </row>
    <row r="47" spans="2:9" x14ac:dyDescent="0.25">
      <c r="B47" s="61" t="s">
        <v>34</v>
      </c>
      <c r="C47" s="62">
        <f>+'ce triennale'!B14/1000</f>
        <v>97.5</v>
      </c>
      <c r="D47" s="63"/>
      <c r="E47" s="62">
        <f>+'ce triennale'!D14/1000</f>
        <v>0.5</v>
      </c>
      <c r="F47" s="63"/>
      <c r="G47" s="62">
        <f>+'ce triennale'!F14/1000</f>
        <v>0.5</v>
      </c>
      <c r="H47" s="62"/>
      <c r="I47" s="62"/>
    </row>
    <row r="48" spans="2:9" x14ac:dyDescent="0.25">
      <c r="B48" s="61" t="s">
        <v>35</v>
      </c>
      <c r="C48" s="62">
        <f>+'ce triennale'!B31/1000</f>
        <v>4.3</v>
      </c>
      <c r="D48" s="63"/>
      <c r="E48" s="62">
        <f>+'ce triennale'!D31/1000</f>
        <v>4.3</v>
      </c>
      <c r="F48" s="63"/>
      <c r="G48" s="62">
        <f>+'ce triennale'!F31/1000</f>
        <v>4.3</v>
      </c>
      <c r="H48" s="62"/>
      <c r="I48" s="62"/>
    </row>
    <row r="49" spans="2:9" x14ac:dyDescent="0.25">
      <c r="B49" s="61" t="s">
        <v>36</v>
      </c>
      <c r="C49" s="62"/>
      <c r="D49" s="63"/>
      <c r="E49" s="62"/>
      <c r="F49" s="63"/>
      <c r="G49" s="62"/>
      <c r="H49" s="62"/>
      <c r="I49" s="62"/>
    </row>
    <row r="50" spans="2:9" x14ac:dyDescent="0.25">
      <c r="B50" s="61" t="s">
        <v>37</v>
      </c>
      <c r="C50" s="62">
        <f>+'ce triennale'!B38/1000</f>
        <v>12</v>
      </c>
      <c r="D50" s="63"/>
      <c r="E50" s="62">
        <f>+'ce triennale'!D38/1000</f>
        <v>12</v>
      </c>
      <c r="F50" s="63"/>
      <c r="G50" s="62">
        <f>+'ce triennale'!F38/1000</f>
        <v>12</v>
      </c>
      <c r="H50" s="62"/>
      <c r="I50" s="62"/>
    </row>
    <row r="51" spans="2:9" x14ac:dyDescent="0.25">
      <c r="B51" s="61" t="s">
        <v>38</v>
      </c>
      <c r="C51" s="62">
        <f>+'ce triennale'!B32/1000</f>
        <v>0</v>
      </c>
      <c r="D51" s="63"/>
      <c r="E51" s="62">
        <f>+'ce triennale'!D32/1000</f>
        <v>0</v>
      </c>
      <c r="F51" s="63"/>
      <c r="G51" s="62">
        <f>+'ce triennale'!F32/1000</f>
        <v>0</v>
      </c>
      <c r="H51" s="62"/>
      <c r="I51" s="62"/>
    </row>
    <row r="52" spans="2:9" x14ac:dyDescent="0.25">
      <c r="B52" s="61" t="s">
        <v>39</v>
      </c>
      <c r="C52" s="62"/>
      <c r="D52" s="63"/>
      <c r="E52" s="62"/>
      <c r="F52" s="63"/>
      <c r="G52" s="62"/>
      <c r="H52" s="62"/>
      <c r="I52" s="62"/>
    </row>
    <row r="53" spans="2:9" x14ac:dyDescent="0.25">
      <c r="B53" s="72" t="s">
        <v>40</v>
      </c>
      <c r="C53" s="62">
        <f>+'ce triennale'!B33/1000</f>
        <v>0.6</v>
      </c>
      <c r="D53" s="63"/>
      <c r="E53" s="62">
        <f>+'ce triennale'!D33/1000</f>
        <v>0</v>
      </c>
      <c r="F53" s="63"/>
      <c r="G53" s="62">
        <f>+'ce triennale'!F33/1000</f>
        <v>0</v>
      </c>
      <c r="H53" s="62"/>
      <c r="I53" s="62"/>
    </row>
    <row r="54" spans="2:9" x14ac:dyDescent="0.25">
      <c r="B54" s="61" t="s">
        <v>41</v>
      </c>
      <c r="C54" s="62">
        <f>+'ce triennale'!B50/1000</f>
        <v>0</v>
      </c>
      <c r="D54" s="63"/>
      <c r="E54" s="62">
        <f>+'ce triennale'!D50/1000</f>
        <v>0</v>
      </c>
      <c r="F54" s="63"/>
      <c r="G54" s="62">
        <f>+'ce triennale'!F50/1000</f>
        <v>0</v>
      </c>
      <c r="H54" s="62"/>
      <c r="I54" s="62"/>
    </row>
    <row r="55" spans="2:9" x14ac:dyDescent="0.25">
      <c r="B55" s="74" t="s">
        <v>42</v>
      </c>
      <c r="C55" s="69">
        <f>C47+C48+C49+C50+C51+C52+C53+C54</f>
        <v>114.39999999999999</v>
      </c>
      <c r="D55" s="57"/>
      <c r="E55" s="69">
        <f>E47+E48+E49+E50+E51+E52+E53+E54</f>
        <v>16.8</v>
      </c>
      <c r="F55" s="57"/>
      <c r="G55" s="69">
        <f>G47+G48+G49+G50+G51+G52+G53+G54</f>
        <v>16.8</v>
      </c>
      <c r="H55" s="57"/>
      <c r="I55" s="57"/>
    </row>
    <row r="56" spans="2:9" x14ac:dyDescent="0.25">
      <c r="B56" s="74" t="s">
        <v>43</v>
      </c>
      <c r="C56" s="69">
        <f>C46-C55</f>
        <v>49.600000000000009</v>
      </c>
      <c r="D56" s="57"/>
      <c r="E56" s="69">
        <f>E46-E55</f>
        <v>147.19999999999999</v>
      </c>
      <c r="F56" s="57"/>
      <c r="G56" s="69">
        <f>G46-G55</f>
        <v>147.19999999999999</v>
      </c>
      <c r="H56" s="57"/>
      <c r="I56" s="57"/>
    </row>
    <row r="57" spans="2:9" x14ac:dyDescent="0.25">
      <c r="B57" s="61" t="s">
        <v>44</v>
      </c>
      <c r="C57" s="75">
        <f>+'ce triennale'!B55/1000</f>
        <v>0</v>
      </c>
      <c r="D57" s="66"/>
      <c r="E57" s="75">
        <f>+'ce triennale'!D55/1000</f>
        <v>0</v>
      </c>
      <c r="F57" s="66"/>
      <c r="G57" s="75">
        <f>+'ce triennale'!F55/1000</f>
        <v>0</v>
      </c>
      <c r="H57" s="75"/>
      <c r="I57" s="75"/>
    </row>
    <row r="58" spans="2:9" x14ac:dyDescent="0.25">
      <c r="B58" s="61" t="s">
        <v>45</v>
      </c>
      <c r="C58" s="75">
        <f>+('ce triennale'!B53+'ce triennale'!B54)/1000</f>
        <v>1.75</v>
      </c>
      <c r="D58" s="66"/>
      <c r="E58" s="75">
        <f>+('ce triennale'!D53+'ce triennale'!D54)/1000</f>
        <v>3.9232816286743657</v>
      </c>
      <c r="F58" s="66"/>
      <c r="G58" s="75">
        <f>+('ce triennale'!F53+'ce triennale'!F54)/1000</f>
        <v>1.4619069316138567</v>
      </c>
      <c r="H58" s="75"/>
      <c r="I58" s="75"/>
    </row>
    <row r="59" spans="2:9" x14ac:dyDescent="0.25">
      <c r="B59" s="73" t="s">
        <v>46</v>
      </c>
      <c r="C59" s="76">
        <f>C57-C58</f>
        <v>-1.75</v>
      </c>
      <c r="D59" s="57"/>
      <c r="E59" s="76">
        <f>E57-E58</f>
        <v>-3.9232816286743657</v>
      </c>
      <c r="F59" s="57"/>
      <c r="G59" s="76">
        <f>G57-G58</f>
        <v>-1.4619069316138567</v>
      </c>
      <c r="H59" s="57"/>
      <c r="I59" s="57"/>
    </row>
    <row r="60" spans="2:9" x14ac:dyDescent="0.25">
      <c r="B60" s="61" t="s">
        <v>47</v>
      </c>
      <c r="C60" s="75"/>
      <c r="D60" s="66"/>
      <c r="E60" s="75"/>
      <c r="F60" s="66"/>
      <c r="G60" s="75"/>
      <c r="H60" s="75"/>
      <c r="I60" s="75"/>
    </row>
    <row r="61" spans="2:9" x14ac:dyDescent="0.25">
      <c r="B61" s="61" t="s">
        <v>48</v>
      </c>
      <c r="C61" s="75"/>
      <c r="D61" s="66"/>
      <c r="E61" s="75"/>
      <c r="F61" s="66"/>
      <c r="G61" s="75"/>
      <c r="H61" s="75"/>
      <c r="I61" s="75"/>
    </row>
    <row r="62" spans="2:9" x14ac:dyDescent="0.25">
      <c r="B62" s="74" t="s">
        <v>49</v>
      </c>
      <c r="C62" s="77">
        <f>C60-C61</f>
        <v>0</v>
      </c>
      <c r="D62" s="78"/>
      <c r="E62" s="77">
        <f>E60-E61</f>
        <v>0</v>
      </c>
      <c r="F62" s="78"/>
      <c r="G62" s="77">
        <f>G60-G61</f>
        <v>0</v>
      </c>
      <c r="H62" s="78"/>
      <c r="I62" s="78"/>
    </row>
    <row r="63" spans="2:9" x14ac:dyDescent="0.25">
      <c r="B63" s="74" t="s">
        <v>50</v>
      </c>
      <c r="C63" s="77">
        <f>C46-C55+C59+C62</f>
        <v>47.850000000000009</v>
      </c>
      <c r="D63" s="78"/>
      <c r="E63" s="77">
        <f>E46-E55+E59+E62</f>
        <v>143.27671837132561</v>
      </c>
      <c r="F63" s="78"/>
      <c r="G63" s="77">
        <f>G46-G55+G59+G62</f>
        <v>145.73809306838612</v>
      </c>
      <c r="H63" s="78"/>
      <c r="I63" s="78"/>
    </row>
    <row r="64" spans="2:9" x14ac:dyDescent="0.25">
      <c r="B64" s="61" t="s">
        <v>51</v>
      </c>
      <c r="C64" s="125">
        <f>+'ce triennale'!B58/1000</f>
        <v>21.532499999999999</v>
      </c>
      <c r="D64" s="126"/>
      <c r="E64" s="125">
        <f>+'ce triennale'!D58/1000</f>
        <v>64.474523267096544</v>
      </c>
      <c r="F64" s="126"/>
      <c r="G64" s="125">
        <f>+'ce triennale'!F58/1000</f>
        <v>65.582141880773761</v>
      </c>
      <c r="H64" s="125"/>
      <c r="I64" s="79"/>
    </row>
    <row r="65" spans="2:19" s="84" customFormat="1" x14ac:dyDescent="0.25">
      <c r="B65" s="80" t="s">
        <v>52</v>
      </c>
      <c r="C65" s="81">
        <f>C63-C64</f>
        <v>26.31750000000001</v>
      </c>
      <c r="D65" s="82"/>
      <c r="E65" s="81">
        <f>E63-E64</f>
        <v>78.802195104229071</v>
      </c>
      <c r="F65" s="82"/>
      <c r="G65" s="81">
        <f>G63-G64</f>
        <v>80.155951187612359</v>
      </c>
      <c r="H65" s="82"/>
      <c r="I65" s="82"/>
      <c r="J65" s="83"/>
      <c r="K65" s="83"/>
      <c r="L65" s="83"/>
      <c r="M65" s="83"/>
      <c r="N65" s="83"/>
      <c r="O65" s="83"/>
      <c r="P65" s="83"/>
      <c r="Q65" s="83"/>
      <c r="R65" s="83"/>
      <c r="S65" s="83"/>
    </row>
    <row r="66" spans="2:19" x14ac:dyDescent="0.25">
      <c r="B66" s="85" t="s">
        <v>53</v>
      </c>
      <c r="C66" s="86" t="s">
        <v>54</v>
      </c>
      <c r="D66" s="87" t="s">
        <v>55</v>
      </c>
      <c r="E66" s="86" t="s">
        <v>54</v>
      </c>
      <c r="F66" s="87" t="s">
        <v>55</v>
      </c>
      <c r="G66" s="86" t="s">
        <v>54</v>
      </c>
      <c r="H66" s="87" t="s">
        <v>55</v>
      </c>
      <c r="I66" s="87" t="s">
        <v>55</v>
      </c>
    </row>
    <row r="67" spans="2:19" x14ac:dyDescent="0.25">
      <c r="B67" s="88" t="s">
        <v>56</v>
      </c>
      <c r="D67" s="89"/>
      <c r="F67" s="89"/>
      <c r="H67" s="90"/>
      <c r="I67" s="90"/>
    </row>
    <row r="68" spans="2:19" x14ac:dyDescent="0.25">
      <c r="B68" s="91" t="s">
        <v>57</v>
      </c>
      <c r="C68" s="92">
        <f>IF(C22=0,0,+(C35+C31)/C22)</f>
        <v>22.886586062251187</v>
      </c>
      <c r="D68" s="93">
        <f>IF(C68&gt;0,IF((C68&gt;=1.25),3,IF((C68&lt;=1),1,2)),"0")</f>
        <v>3</v>
      </c>
      <c r="E68" s="92">
        <f>IF(E22=0,0,+(E35+E31)/E22)</f>
        <v>-79.539981634790266</v>
      </c>
      <c r="F68" s="93" t="str">
        <f>IF(E68&gt;0,IF((E68&gt;=1.25),3,IF((E68&lt;=1),1,2)),"0")</f>
        <v>0</v>
      </c>
      <c r="G68" s="92">
        <f>IF(G22=0,0,+(G35+G31)/G22)</f>
        <v>-50.801966942622485</v>
      </c>
      <c r="H68" s="93" t="str">
        <f>IF(G68&gt;0,IF((G68&gt;=1.25),3,IF((G68&lt;=1),1,2)),"0")</f>
        <v>0</v>
      </c>
      <c r="I68" s="93">
        <f>IF(H68&gt;0,IF((H68&gt;=1.25),3,IF((H68&lt;=1),1,2)),"0")</f>
        <v>3</v>
      </c>
    </row>
    <row r="69" spans="2:19" x14ac:dyDescent="0.25">
      <c r="B69" s="91" t="s">
        <v>58</v>
      </c>
      <c r="C69" s="94">
        <f>IF(C40=0,0,C35/C40)</f>
        <v>0.11447805310054697</v>
      </c>
      <c r="D69" s="93">
        <f>IF(C69&gt;0,IF((C69&gt;=15%),3,IF((C69&lt;=10%),1,2)),"0")</f>
        <v>2</v>
      </c>
      <c r="E69" s="94">
        <f>IF(E40=0,0,E35/E40)</f>
        <v>0.41176643494196624</v>
      </c>
      <c r="F69" s="93">
        <f>IF(E69&gt;0,IF((E69&gt;=15%),3,IF((E69&lt;=10%),1,2)),"0")</f>
        <v>3</v>
      </c>
      <c r="G69" s="94">
        <f>IF(G40=0,0,G35/G40)</f>
        <v>0.65484362656859452</v>
      </c>
      <c r="H69" s="93">
        <f>IF(G69&gt;0,IF((G69&gt;=15%),3,IF((G69&lt;=10%),1,2)),"0")</f>
        <v>3</v>
      </c>
      <c r="I69" s="93">
        <f>IF(H69&gt;0,IF((H69&gt;=15%),3,IF((H69&lt;=10%),1,2)),"0")</f>
        <v>3</v>
      </c>
    </row>
    <row r="70" spans="2:19" x14ac:dyDescent="0.25">
      <c r="B70" s="91" t="s">
        <v>59</v>
      </c>
      <c r="C70" s="94">
        <f>-C59/C42</f>
        <v>1.0670731707317074E-2</v>
      </c>
      <c r="D70" s="93">
        <f>IF((C70&lt;=5%),3,IF((C70&gt;=10%),1,2))</f>
        <v>3</v>
      </c>
      <c r="E70" s="94">
        <f>-E59/E42</f>
        <v>2.3922448955331497E-2</v>
      </c>
      <c r="F70" s="93">
        <f>IF((E70&lt;=5%),3,IF((E70&gt;=10%),1,2))</f>
        <v>3</v>
      </c>
      <c r="G70" s="94">
        <f>-G59/G42</f>
        <v>8.9140666561820531E-3</v>
      </c>
      <c r="H70" s="93">
        <f>IF((G70&lt;=5%),3,IF((G70&gt;=10%),1,2))</f>
        <v>3</v>
      </c>
      <c r="I70" s="93">
        <f>IF((H70&lt;=5%),3,IF((H70&gt;=10%),1,2))</f>
        <v>1</v>
      </c>
    </row>
    <row r="71" spans="2:19" x14ac:dyDescent="0.25">
      <c r="B71" s="118" t="s">
        <v>60</v>
      </c>
      <c r="C71" s="95"/>
      <c r="D71" s="96"/>
      <c r="E71" s="95"/>
      <c r="F71" s="96"/>
      <c r="G71" s="95"/>
      <c r="H71" s="97"/>
      <c r="I71" s="97"/>
    </row>
    <row r="72" spans="2:19" x14ac:dyDescent="0.25">
      <c r="B72" s="91" t="s">
        <v>61</v>
      </c>
      <c r="C72" s="94">
        <f>IF(C26=0,0,(C65+C53)/C26)</f>
        <v>0.63484669811320782</v>
      </c>
      <c r="D72" s="93">
        <f>IF(C72&gt;0,IF((C72&gt;=4%),3,IF((C72&lt;=3%),1,2)),"0")</f>
        <v>3</v>
      </c>
      <c r="E72" s="94">
        <f>IF(E26=0,0,(E65+E53)/E26)</f>
        <v>2.5921774705338509</v>
      </c>
      <c r="F72" s="93">
        <f>IF(E72&gt;0,IF((E72&gt;=4%),3,IF((E72&lt;=3%),1,2)),"0")</f>
        <v>3</v>
      </c>
      <c r="G72" s="94">
        <f>IF(G26=0,0,(G65+G53)/G26)</f>
        <v>2.6367089206451437</v>
      </c>
      <c r="H72" s="93">
        <f>IF(G72&gt;0,IF((G72&gt;=4%),3,IF((G72&lt;=3%),1,2)),"0")</f>
        <v>3</v>
      </c>
      <c r="I72" s="93">
        <f>IF(H72&gt;0,IF((H72&gt;=4%),3,IF((H72&lt;=3%),1,2)),"0")</f>
        <v>3</v>
      </c>
    </row>
    <row r="73" spans="2:19" x14ac:dyDescent="0.25">
      <c r="B73" s="58"/>
      <c r="C73" s="98"/>
      <c r="D73" s="99">
        <f>SUM(D68:D72)</f>
        <v>11</v>
      </c>
      <c r="E73" s="98"/>
      <c r="F73" s="99">
        <f>SUM(F68:F72)</f>
        <v>9</v>
      </c>
      <c r="G73" s="98"/>
      <c r="H73" s="100">
        <f>SUM(H68:H72)</f>
        <v>9</v>
      </c>
      <c r="I73" s="100">
        <f>SUM(I68:I72)</f>
        <v>10</v>
      </c>
    </row>
    <row r="74" spans="2:19" x14ac:dyDescent="0.25">
      <c r="B74" s="101" t="s">
        <v>62</v>
      </c>
      <c r="C74" s="98"/>
      <c r="D74" s="102" t="str">
        <f>IF((D73&gt;=9),"A",IF((D73&lt;7),"C","B"))</f>
        <v>A</v>
      </c>
      <c r="E74" s="98"/>
      <c r="F74" s="103" t="str">
        <f>IF((F73&gt;=9),"A",IF((F73&lt;7),"C","B"))</f>
        <v>A</v>
      </c>
      <c r="G74" s="98"/>
      <c r="H74" s="103" t="str">
        <f>IF((H73&gt;=9),"A",IF((H73&lt;7),"C","B"))</f>
        <v>A</v>
      </c>
      <c r="I74" s="103" t="str">
        <f>IF((I73&gt;=9),"A",IF((I73&lt;7),"C","B"))</f>
        <v>A</v>
      </c>
    </row>
    <row r="75" spans="2:19" s="107" customFormat="1" x14ac:dyDescent="0.25">
      <c r="B75" s="104"/>
      <c r="C75" s="105"/>
      <c r="D75" s="105"/>
      <c r="E75" s="105"/>
      <c r="F75" s="105"/>
      <c r="G75" s="105"/>
      <c r="H75" s="106"/>
      <c r="I75" s="106"/>
      <c r="J75" s="51"/>
      <c r="K75" s="51"/>
      <c r="L75" s="51"/>
      <c r="M75" s="51"/>
      <c r="N75" s="51"/>
      <c r="O75" s="51"/>
      <c r="P75" s="51"/>
      <c r="Q75" s="51"/>
      <c r="R75" s="51"/>
      <c r="S75" s="51"/>
    </row>
    <row r="76" spans="2:19" x14ac:dyDescent="0.25">
      <c r="B76" s="108" t="s">
        <v>53</v>
      </c>
      <c r="C76" s="86" t="s">
        <v>54</v>
      </c>
      <c r="D76" s="109" t="s">
        <v>55</v>
      </c>
      <c r="E76" s="86" t="s">
        <v>54</v>
      </c>
      <c r="F76" s="109" t="s">
        <v>55</v>
      </c>
      <c r="G76" s="86" t="s">
        <v>54</v>
      </c>
      <c r="H76" s="109" t="s">
        <v>55</v>
      </c>
      <c r="I76" s="109" t="s">
        <v>55</v>
      </c>
    </row>
    <row r="77" spans="2:19" x14ac:dyDescent="0.25">
      <c r="B77" s="88" t="s">
        <v>56</v>
      </c>
      <c r="H77" s="110"/>
      <c r="I77" s="110"/>
    </row>
    <row r="78" spans="2:19" x14ac:dyDescent="0.25">
      <c r="B78" s="91" t="s">
        <v>63</v>
      </c>
      <c r="C78" s="92">
        <f>IF(C18+C17=0,0,+(C18+C17)/C27)</f>
        <v>3.2220039292730838</v>
      </c>
      <c r="D78" s="111">
        <f>IF(C78&gt;0,IF((C78&gt;=1),3,IF((C78&lt;=0.5),1,2)),"0")</f>
        <v>3</v>
      </c>
      <c r="E78" s="92">
        <f>IF(E18+E17=0,0,+(E18+E17)/E27)</f>
        <v>68.333333333333343</v>
      </c>
      <c r="F78" s="112">
        <f>IF(E78&gt;0,IF((E78&gt;=1),3,IF((E78&lt;=0.5),1,2)),"0")</f>
        <v>3</v>
      </c>
      <c r="G78" s="92">
        <f>IF(G18+G17=0,0,+(G18+G17)/G27)</f>
        <v>68.333333333333343</v>
      </c>
      <c r="H78" s="112">
        <f>IF(G78&gt;0,IF((G78&gt;=1),3,IF((G78&lt;=0.5),1,2)),"0")</f>
        <v>3</v>
      </c>
      <c r="I78" s="112">
        <f>IF(H78&gt;0,IF((H78&gt;=1),3,IF((H78&lt;=0.5),1,2)),"0")</f>
        <v>3</v>
      </c>
    </row>
    <row r="79" spans="2:19" x14ac:dyDescent="0.25">
      <c r="B79" s="91" t="s">
        <v>64</v>
      </c>
      <c r="C79" s="94">
        <f>IF(C18+C17=0,0,+(C18+C17)/C42)</f>
        <v>0.19999999999999998</v>
      </c>
      <c r="D79" s="112">
        <f>IF(C79&gt;0,IF((C79&lt;=50%),3,IF((C79&gt;=80%),1,2)),"0")</f>
        <v>3</v>
      </c>
      <c r="E79" s="94">
        <f>IF(E18+E17=0,0,+(E18+E17)/E42)</f>
        <v>0.19999999999999998</v>
      </c>
      <c r="F79" s="112">
        <f>IF(E79&gt;0,IF((E79&lt;=50%),3,IF((E79&gt;=80%),1,2)),"0")</f>
        <v>3</v>
      </c>
      <c r="G79" s="94">
        <f>IF(G18+G17=0,0,+(G18+G17)/G42)</f>
        <v>0.19999999999999998</v>
      </c>
      <c r="H79" s="112">
        <f>IF(G79&gt;0,IF((G79&lt;=50%),3,IF((G79&gt;=80%),1,2)),"0")</f>
        <v>3</v>
      </c>
      <c r="I79" s="112">
        <f>IF(H79&gt;0,IF((H79&lt;=50%),3,IF((H79&gt;=80%),1,2)),"0")</f>
        <v>1</v>
      </c>
    </row>
    <row r="80" spans="2:19" x14ac:dyDescent="0.25">
      <c r="B80" s="91" t="s">
        <v>59</v>
      </c>
      <c r="C80" s="94">
        <f>-C59/C42</f>
        <v>1.0670731707317074E-2</v>
      </c>
      <c r="D80" s="112">
        <f>IF((C80&lt;=5%),3,IF((C80&gt;=10%),1,2))</f>
        <v>3</v>
      </c>
      <c r="E80" s="94">
        <f>-E59/E42</f>
        <v>2.3922448955331497E-2</v>
      </c>
      <c r="F80" s="112">
        <f>IF((E80&lt;=5%),3,IF((E80&gt;=10%),1,2))</f>
        <v>3</v>
      </c>
      <c r="G80" s="94">
        <f>-G59/G42</f>
        <v>8.9140666561820531E-3</v>
      </c>
      <c r="H80" s="112">
        <f>IF((G80&lt;=5%),3,IF((G80&gt;=10%),1,2))</f>
        <v>3</v>
      </c>
      <c r="I80" s="112">
        <f>IF((H80&lt;=5%),3,IF((H80&gt;=10%),1,2))</f>
        <v>1</v>
      </c>
    </row>
    <row r="81" spans="2:19" x14ac:dyDescent="0.25">
      <c r="B81" s="91" t="s">
        <v>61</v>
      </c>
      <c r="C81" s="94">
        <f>IF(C26=0,0,(C65+C53)/C26)</f>
        <v>0.63484669811320782</v>
      </c>
      <c r="D81" s="112">
        <f>IF(C81&gt;0,IF((C81&gt;=4%),3,IF((C81&lt;=3%),1,2)),"0")</f>
        <v>3</v>
      </c>
      <c r="E81" s="94">
        <f>IF(E26=0,0,(E65+E53)/E26)</f>
        <v>2.5921774705338509</v>
      </c>
      <c r="F81" s="112">
        <f>IF(E81&gt;0,IF((E81&gt;=4%),3,IF((E81&lt;=3%),1,2)),"0")</f>
        <v>3</v>
      </c>
      <c r="G81" s="94">
        <f>IF(G26=0,0,(G65+G53)/G26)</f>
        <v>2.6367089206451437</v>
      </c>
      <c r="H81" s="112">
        <f>IF(G81&gt;0,IF((G81&gt;=4%),3,IF((G81&lt;=3%),1,2)),"0")</f>
        <v>3</v>
      </c>
      <c r="I81" s="112">
        <f>IF(H81&gt;0,IF((H81&gt;=4%),3,IF((H81&lt;=3%),1,2)),"0")</f>
        <v>3</v>
      </c>
    </row>
    <row r="82" spans="2:19" s="89" customFormat="1" x14ac:dyDescent="0.25">
      <c r="B82" s="113"/>
      <c r="C82" s="114"/>
      <c r="D82" s="99">
        <f>SUM(D78:D81)</f>
        <v>12</v>
      </c>
      <c r="E82" s="114"/>
      <c r="F82" s="99">
        <f>SUM(F78:F81)</f>
        <v>12</v>
      </c>
      <c r="H82" s="100">
        <f>SUM(H78:H81)</f>
        <v>12</v>
      </c>
      <c r="I82" s="100">
        <f>SUM(I78:I81)</f>
        <v>8</v>
      </c>
    </row>
    <row r="83" spans="2:19" s="107" customFormat="1" x14ac:dyDescent="0.25">
      <c r="B83" s="101" t="s">
        <v>62</v>
      </c>
      <c r="C83" s="115"/>
      <c r="D83" s="116" t="str">
        <f>IF((D82&gt;=9),"A",IF((D82&lt;7),"C","B"))</f>
        <v>A</v>
      </c>
      <c r="E83" s="115"/>
      <c r="F83" s="117" t="str">
        <f>IF((F82&gt;=9),"A",IF((F82&lt;7),"C","B"))</f>
        <v>A</v>
      </c>
      <c r="G83" s="115"/>
      <c r="H83" s="117" t="str">
        <f>IF((H82&gt;=9),"A",IF((H82&lt;7),"C","B"))</f>
        <v>A</v>
      </c>
      <c r="I83" s="117" t="str">
        <f>IF((I82&gt;=9),"A",IF((I82&lt;7),"C","B"))</f>
        <v>B</v>
      </c>
      <c r="J83" s="51"/>
      <c r="K83" s="51"/>
      <c r="L83" s="51"/>
      <c r="M83" s="51"/>
      <c r="N83" s="51"/>
      <c r="O83" s="51"/>
      <c r="P83" s="51"/>
      <c r="Q83" s="51"/>
      <c r="R83" s="51"/>
      <c r="S83" s="51"/>
    </row>
    <row r="84" spans="2:19" x14ac:dyDescent="0.25">
      <c r="B84" s="255" t="s">
        <v>65</v>
      </c>
      <c r="C84" s="256"/>
      <c r="D84" s="256"/>
      <c r="E84" s="256"/>
      <c r="F84" s="256"/>
      <c r="G84" s="256"/>
      <c r="H84" s="256"/>
      <c r="I84" s="257"/>
    </row>
  </sheetData>
  <sheetProtection selectLockedCells="1"/>
  <mergeCells count="4">
    <mergeCell ref="C14:D14"/>
    <mergeCell ref="E14:F14"/>
    <mergeCell ref="G14:I14"/>
    <mergeCell ref="B84:I84"/>
  </mergeCells>
  <phoneticPr fontId="0" type="noConversion"/>
  <printOptions gridLinesSet="0"/>
  <pageMargins left="0.59055118110236227" right="0.59055118110236227" top="0.78740157480314965" bottom="0.78740157480314965" header="0.31496062992125984" footer="0.51181102362204722"/>
  <pageSetup paperSize="9" scale="66" orientation="portrait" horizontalDpi="4294967292" r:id="rId1"/>
  <headerFooter alignWithMargins="0">
    <oddHeader>&amp;CPROSPETTO FINALE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piano invest</vt:lpstr>
      <vt:lpstr>fonti copertura investim</vt:lpstr>
      <vt:lpstr>risorse umane</vt:lpstr>
      <vt:lpstr>pz prod</vt:lpstr>
      <vt:lpstr>ammort</vt:lpstr>
      <vt:lpstr>ce triennale</vt:lpstr>
      <vt:lpstr>Flussi fin</vt:lpstr>
      <vt:lpstr>finale</vt:lpstr>
      <vt:lpstr>'piano invest'!_ftn1</vt:lpstr>
      <vt:lpstr>ammort!Area_stampa</vt:lpstr>
      <vt:lpstr>'ce triennale'!Area_stampa</vt:lpstr>
      <vt:lpstr>finale!Area_stampa</vt:lpstr>
      <vt:lpstr>'fonti copertura investim'!Area_stampa</vt:lpstr>
      <vt:lpstr>'piano invest'!Area_stampa</vt:lpstr>
      <vt:lpstr>'pz prod'!Area_stampa</vt:lpstr>
      <vt:lpstr>'risorse umane'!Area_stampa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Proprietario</dc:creator>
  <cp:lastModifiedBy>apell</cp:lastModifiedBy>
  <cp:lastPrinted>2011-09-22T08:18:58Z</cp:lastPrinted>
  <dcterms:created xsi:type="dcterms:W3CDTF">2005-05-13T14:58:13Z</dcterms:created>
  <dcterms:modified xsi:type="dcterms:W3CDTF">2019-03-22T14:56:47Z</dcterms:modified>
</cp:coreProperties>
</file>